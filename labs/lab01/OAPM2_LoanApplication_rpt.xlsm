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umailsyr-my.sharepoint.com/personal/gjraitse_syr_edu/Documents/Documents/ECS630_SimulationAnalytics/"/>
    </mc:Choice>
  </mc:AlternateContent>
  <xr:revisionPtr revIDLastSave="1" documentId="13_ncr:1_{E908E2A7-198D-426C-9C82-3BB406316252}" xr6:coauthVersionLast="47" xr6:coauthVersionMax="47" xr10:uidLastSave="{8DF73FA7-3439-4FDA-B546-E991E7562528}"/>
  <bookViews>
    <workbookView xWindow="-98" yWindow="-98" windowWidth="22231" windowHeight="8701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DiscreteTimeStatsByRep!$A$1:$K$11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/>
  <c r="J12" i="20" a="1"/>
  <c r="J12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K9" i="20" a="1"/>
  <c r="K9" i="20"/>
  <c r="K10" i="20" a="1"/>
  <c r="K10" i="20"/>
  <c r="K11" i="20" a="1"/>
  <c r="K11" i="20"/>
  <c r="K12" i="20" a="1"/>
  <c r="K12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L9" i="20" a="1"/>
  <c r="L9" i="20"/>
  <c r="L10" i="20" a="1"/>
  <c r="L10" i="20"/>
  <c r="L11" i="20" a="1"/>
  <c r="L11" i="20"/>
  <c r="L12" i="20" a="1"/>
  <c r="L12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N2" i="20"/>
  <c r="N3" i="20"/>
  <c r="N4" i="20"/>
  <c r="N5" i="20"/>
  <c r="N6" i="20"/>
  <c r="N7" i="20"/>
  <c r="N8" i="20"/>
  <c r="N9" i="20"/>
  <c r="N10" i="20"/>
  <c r="N11" i="20"/>
  <c r="N12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O9" i="20" a="1"/>
  <c r="O9" i="20"/>
  <c r="O10" i="20" a="1"/>
  <c r="O10" i="20"/>
  <c r="O11" i="20" a="1"/>
  <c r="O11" i="20"/>
  <c r="O12" i="20" a="1"/>
  <c r="O12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P9" i="20" a="1"/>
  <c r="P9" i="20"/>
  <c r="P10" i="20" a="1"/>
  <c r="P10" i="20"/>
  <c r="P11" i="20" a="1"/>
  <c r="P11" i="20"/>
  <c r="P12" i="20" a="1"/>
  <c r="P12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W2" i="17"/>
  <c r="W3" i="17"/>
  <c r="W4" i="17"/>
  <c r="W5" i="17"/>
  <c r="W6" i="17"/>
  <c r="W7" i="17"/>
  <c r="W8" i="17"/>
  <c r="W9" i="17"/>
  <c r="W10" i="17"/>
  <c r="W11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Y2" i="17"/>
  <c r="Y3" i="17"/>
  <c r="Y4" i="17"/>
  <c r="Y5" i="17"/>
  <c r="Y6" i="17"/>
  <c r="Y7" i="17"/>
  <c r="Y8" i="17"/>
  <c r="Y9" i="17"/>
  <c r="Y10" i="17"/>
  <c r="Y11" i="17"/>
  <c r="G2" i="16"/>
  <c r="Q11" i="17" l="1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jraitse\OneDrive - Syracuse University\documents\ecs630_simulationanalytics\oapm2_loanapplicatio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<sst xmlns="http://schemas.openxmlformats.org/spreadsheetml/2006/main" count="459" uniqueCount="111">
  <si>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</si>
  <si>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</si>
  <si>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</si>
  <si>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</si>
  <si>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</si>
  <si>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</si>
  <si>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</si>
  <si>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</si>
  <si>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</si>
  <si>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</si>
  <si>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</si>
  <si>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</si>
  <si>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</si>
  <si>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</si>
  <si>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</si>
  <si>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</si>
  <si>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</si>
  <si>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</si>
  <si>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</si>
  <si>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</si>
  <si>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</si>
  <si>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</si>
  <si>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</si>
  <si>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</si>
  <si>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</si>
  <si>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</si>
  <si>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</si>
  <si>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</si>
  <si>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</si>
  <si>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</si>
  <si>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</si>
  <si>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</si>
  <si>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</si>
  <si>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</si>
  <si>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</si>
  <si>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</si>
  <si>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</si>
  <si>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</si>
  <si>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</si>
  <si>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</si>
  <si>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</si>
  <si>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</si>
  <si>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</si>
  <si>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</si>
  <si>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</si>
  <si>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</si>
  <si>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</si>
  <si>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</si>
  <si>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</si>
  <si>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</si>
  <si>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</si>
  <si>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</si>
  <si>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</si>
  <si>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</si>
  <si>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</si>
  <si>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</si>
  <si>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</si>
  <si>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</si>
  <si>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</si>
  <si>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</si>
  <si>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</si>
  <si>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</si>
  <si>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</si>
  <si>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</si>
  <si>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</si>
  <si>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</si>
  <si>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</si>
  <si>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</si>
  <si>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</si>
  <si>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C:\Users\gjraitse\OneDrive - Syracuse University\Documents\ECS630_SimulationAnalytics\OAPM2_LoanApplication.p</t>
  </si>
  <si>
    <t>2025-10-28 23:55:29</t>
  </si>
  <si>
    <t>Ali Checks Credit.Queue</t>
  </si>
  <si>
    <t>Waiting Time</t>
  </si>
  <si>
    <t>Queue</t>
  </si>
  <si>
    <t>Application</t>
  </si>
  <si>
    <t>NVA Time</t>
  </si>
  <si>
    <t>Entity</t>
  </si>
  <si>
    <t>Other Time</t>
  </si>
  <si>
    <t>Total Time</t>
  </si>
  <si>
    <t>Transfer Time</t>
  </si>
  <si>
    <t>VA Time</t>
  </si>
  <si>
    <t>Wait Time</t>
  </si>
  <si>
    <t>Bianca.Queue</t>
  </si>
  <si>
    <t>Carl.Queue</t>
  </si>
  <si>
    <t>Deeta.Queue</t>
  </si>
  <si>
    <t>Number Waiting</t>
  </si>
  <si>
    <t>WIP</t>
  </si>
  <si>
    <t>r Ali</t>
  </si>
  <si>
    <t>Instantaneous Utilization</t>
  </si>
  <si>
    <t>Resource</t>
  </si>
  <si>
    <t>Number Busy</t>
  </si>
  <si>
    <t>Number Scheduled</t>
  </si>
  <si>
    <t>r Bianca</t>
  </si>
  <si>
    <t>r Carl</t>
  </si>
  <si>
    <t>r Deeta</t>
  </si>
  <si>
    <t>Application.NumberIn</t>
  </si>
  <si>
    <t>Number In</t>
  </si>
  <si>
    <t>Application.NumberOut</t>
  </si>
  <si>
    <t>Number Out</t>
  </si>
  <si>
    <t>System.NumberOut</t>
  </si>
  <si>
    <t>System</t>
  </si>
  <si>
    <t>r Ali.NumberSeized</t>
  </si>
  <si>
    <t>Total Number Seized</t>
  </si>
  <si>
    <t>r Ali.ScheduledUtilization</t>
  </si>
  <si>
    <t>Scheduled Utilization</t>
  </si>
  <si>
    <t>r Bianca.NumberSeized</t>
  </si>
  <si>
    <t>r Bianca.ScheduledUtilization</t>
  </si>
  <si>
    <t>r Carl.NumberSeized</t>
  </si>
  <si>
    <t>r Carl.ScheduledUtilization</t>
  </si>
  <si>
    <t>r Deeta.NumberSeized</t>
  </si>
  <si>
    <t>r Deeta.ScheduledUtilization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</si>
</sst>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8.997119097221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Application.NumberIn"/>
        <s v="Application.NumberOut"/>
        <s v="System.NumberOut"/>
        <s v="r Ali.NumberSeized"/>
        <s v="r Ali.ScheduledUtilization"/>
        <s v="r Bianca.NumberSeized"/>
        <s v="r Bianca.ScheduledUtilization"/>
        <s v="r Carl.NumberSeized"/>
        <s v="r Carl.ScheduledUtilization"/>
        <s v="r Deeta.NumberSeized"/>
        <s v="r Deeta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703391577450038" maxValue="12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03391577450038" maxValue="12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03391577450038" maxValue="129"/>
    </cacheField>
    <cacheField name="Maximum" numFmtId="0">
      <sharedItems containsSemiMixedTypes="0" containsString="0" containsNumber="1" minValue="0.703391577450038" maxValue="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8.99711990740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8.997120023145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3">
        <s v="Ali Checks Credit.Queue"/>
        <s v="Application"/>
        <s v="Bianca.Queue"/>
        <s v="Carl.Queue"/>
        <s v="Deeta.Queue"/>
        <s v="r Ali"/>
        <s v="r Bianca"/>
        <s v="r Carl"/>
        <s v="r Deeta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.703391577450038" maxValue="12.3931307022225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21"/>
    </cacheField>
    <cacheField name="LastRecordedValue" numFmtId="0">
      <sharedItems containsSemiMixedTypes="0" containsString="0" containsNumber="1" containsInteger="1" minValue="0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703391577450038" maxValue="12.3931307022225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703391577450038" maxValue="12.393130702222599"/>
    </cacheField>
    <cacheField name="MaximumAverage" numFmtId="0">
      <sharedItems containsSemiMixedTypes="0" containsString="0" containsNumber="1" minValue="0.703391577450038" maxValue="12.3931307022225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8.99712037036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8.997121412038" createdVersion="7" refreshedVersion="8" minRefreshableVersion="3" recordCount="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Ali Checks Credit.Queue"/>
        <s v="Application"/>
        <s v="Bianca.Queue"/>
        <s v="Carl.Queue"/>
        <s v="Deet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6.0831211492214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42205915049971"/>
    </cacheField>
    <cacheField name="Maximum" numFmtId="0">
      <sharedItems containsSemiMixedTypes="0" containsString="0" containsNumber="1" minValue="0" maxValue="27.208906682975901"/>
    </cacheField>
    <cacheField name="NumberObservations" numFmtId="0">
      <sharedItems containsSemiMixedTypes="0" containsString="0" containsNumber="1" containsInteger="1" minValue="117" maxValue="129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6.0831211492214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6.083121149221402"/>
    </cacheField>
    <cacheField name="MaximumAverage" numFmtId="0">
      <sharedItems containsSemiMixedTypes="0" containsString="0" containsNumber="1" minValue="0" maxValue="16.083121149221402"/>
    </cacheField>
    <cacheField name="OverallMinimum" numFmtId="0">
      <sharedItems containsSemiMixedTypes="0" containsString="0" containsNumber="1" minValue="0" maxValue="1.42205915049971"/>
    </cacheField>
    <cacheField name="OverallMaximum" numFmtId="0">
      <sharedItems containsSemiMixedTypes="0" containsString="0" containsNumber="1" minValue="0" maxValue="27.208906682975901"/>
    </cacheField>
    <cacheField name="AverageNumberObservations" numFmtId="0">
      <sharedItems containsSemiMixedTypes="0" containsString="0" containsNumber="1" containsInteger="1" minValue="117" maxValue="129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5-10-28 23:55:29"/>
    <n v="1"/>
    <x v="0"/>
    <x v="0"/>
    <x v="0"/>
    <n v="129"/>
    <n v="0"/>
    <s v="Unnamed ProjectApplication.NumberInNumber InEntity"/>
    <n v="1"/>
    <n v="129"/>
    <n v="0"/>
    <n v="0.95"/>
    <n v="4E+20"/>
    <n v="129"/>
    <n v="129"/>
  </r>
  <r>
    <x v="0"/>
    <s v="2025-10-28 23:55:29"/>
    <n v="1"/>
    <x v="1"/>
    <x v="1"/>
    <x v="0"/>
    <n v="117"/>
    <n v="0"/>
    <s v="Unnamed ProjectApplication.NumberOutNumber OutEntity"/>
    <n v="1"/>
    <n v="117"/>
    <n v="0"/>
    <n v="0.95"/>
    <n v="4E+20"/>
    <n v="117"/>
    <n v="117"/>
  </r>
  <r>
    <x v="0"/>
    <s v="2025-10-28 23:55:29"/>
    <n v="1"/>
    <x v="2"/>
    <x v="1"/>
    <x v="1"/>
    <n v="117"/>
    <n v="0"/>
    <s v="Unnamed ProjectSystem.NumberOutNumber OutSystem"/>
    <n v="1"/>
    <n v="117"/>
    <n v="0"/>
    <n v="0.95"/>
    <n v="4E+20"/>
    <n v="117"/>
    <n v="117"/>
  </r>
  <r>
    <x v="0"/>
    <s v="2025-10-28 23:55:29"/>
    <n v="1"/>
    <x v="3"/>
    <x v="2"/>
    <x v="2"/>
    <n v="129"/>
    <n v="0"/>
    <s v="Unnamed Projectr Ali.NumberSeizedTotal Number SeizedResource"/>
    <n v="1"/>
    <n v="129"/>
    <n v="0"/>
    <n v="0.95"/>
    <n v="4E+20"/>
    <n v="129"/>
    <n v="129"/>
  </r>
  <r>
    <x v="0"/>
    <s v="2025-10-28 23:55:29"/>
    <n v="1"/>
    <x v="4"/>
    <x v="3"/>
    <x v="2"/>
    <n v="0.82329655017289904"/>
    <n v="0"/>
    <s v="Unnamed Projectr Ali.ScheduledUtilizationScheduled UtilizationResource"/>
    <n v="1"/>
    <n v="0.82329655017289904"/>
    <n v="0"/>
    <n v="0.95"/>
    <n v="4E+20"/>
    <n v="0.82329655017289904"/>
    <n v="0.82329655017289904"/>
  </r>
  <r>
    <x v="0"/>
    <s v="2025-10-28 23:55:29"/>
    <n v="1"/>
    <x v="5"/>
    <x v="2"/>
    <x v="2"/>
    <n v="128"/>
    <n v="0"/>
    <s v="Unnamed Projectr Bianca.NumberSeizedTotal Number SeizedResource"/>
    <n v="1"/>
    <n v="128"/>
    <n v="0"/>
    <n v="0.95"/>
    <n v="4E+20"/>
    <n v="128"/>
    <n v="128"/>
  </r>
  <r>
    <x v="0"/>
    <s v="2025-10-28 23:55:29"/>
    <n v="1"/>
    <x v="6"/>
    <x v="3"/>
    <x v="2"/>
    <n v="0.703391577450038"/>
    <n v="0"/>
    <s v="Unnamed Projectr Bianca.ScheduledUtilizationScheduled UtilizationResource"/>
    <n v="1"/>
    <n v="0.703391577450038"/>
    <n v="0"/>
    <n v="0.95"/>
    <n v="4E+20"/>
    <n v="0.703391577450038"/>
    <n v="0.703391577450038"/>
  </r>
  <r>
    <x v="0"/>
    <s v="2025-10-28 23:55:29"/>
    <n v="1"/>
    <x v="7"/>
    <x v="2"/>
    <x v="2"/>
    <n v="123"/>
    <n v="0"/>
    <s v="Unnamed Projectr Carl.NumberSeizedTotal Number SeizedResource"/>
    <n v="1"/>
    <n v="123"/>
    <n v="0"/>
    <n v="0.95"/>
    <n v="4E+20"/>
    <n v="123"/>
    <n v="123"/>
  </r>
  <r>
    <x v="0"/>
    <s v="2025-10-28 23:55:29"/>
    <n v="1"/>
    <x v="8"/>
    <x v="3"/>
    <x v="2"/>
    <n v="0.80437930497408405"/>
    <n v="0"/>
    <s v="Unnamed Projectr Carl.ScheduledUtilizationScheduled UtilizationResource"/>
    <n v="1"/>
    <n v="0.80437930497408405"/>
    <n v="0"/>
    <n v="0.95"/>
    <n v="4E+20"/>
    <n v="0.80437930497408405"/>
    <n v="0.80437930497408405"/>
  </r>
  <r>
    <x v="0"/>
    <s v="2025-10-28 23:55:29"/>
    <n v="1"/>
    <x v="9"/>
    <x v="2"/>
    <x v="2"/>
    <n v="118"/>
    <n v="0"/>
    <s v="Unnamed Projectr Deeta.NumberSeizedTotal Number SeizedResource"/>
    <n v="1"/>
    <n v="118"/>
    <n v="0"/>
    <n v="0.95"/>
    <n v="4E+20"/>
    <n v="118"/>
    <n v="118"/>
  </r>
  <r>
    <x v="0"/>
    <s v="2025-10-28 23:55:29"/>
    <n v="1"/>
    <x v="10"/>
    <x v="3"/>
    <x v="2"/>
    <n v="0.80800953105086604"/>
    <n v="0"/>
    <s v="Unnamed Projectr Deeta.ScheduledUtilizationScheduled UtilizationResource"/>
    <n v="1"/>
    <n v="0.80800953105086604"/>
    <n v="0"/>
    <n v="0.95"/>
    <n v="4E+20"/>
    <n v="0.80800953105086604"/>
    <n v="0.808009531050866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5-10-28 23:55:29"/>
    <n v="1"/>
    <x v="0"/>
    <x v="0"/>
    <x v="0"/>
    <n v="1.91350708840568"/>
    <n v="2E+20"/>
    <n v="0"/>
    <n v="8"/>
    <n v="0"/>
    <n v="0"/>
    <s v="Unnamed ProjectAli Checks Credit.QueueNumber WaitingQueue"/>
    <n v="1"/>
    <n v="1.91350708840568"/>
    <n v="0"/>
    <n v="0.95"/>
    <n v="4E+20"/>
    <n v="1.91350708840568"/>
    <n v="1.91350708840568"/>
    <n v="2E+20"/>
  </r>
  <r>
    <x v="0"/>
    <s v="2025-10-28 23:55:29"/>
    <n v="1"/>
    <x v="1"/>
    <x v="1"/>
    <x v="1"/>
    <n v="12.393130702222599"/>
    <n v="2E+20"/>
    <n v="0"/>
    <n v="21"/>
    <n v="12"/>
    <n v="0"/>
    <s v="Unnamed ProjectApplicationWIPEntity"/>
    <n v="1"/>
    <n v="12.393130702222599"/>
    <n v="0"/>
    <n v="0.95"/>
    <n v="4E+20"/>
    <n v="12.393130702222599"/>
    <n v="12.393130702222599"/>
    <n v="2E+20"/>
  </r>
  <r>
    <x v="0"/>
    <s v="2025-10-28 23:55:29"/>
    <n v="1"/>
    <x v="2"/>
    <x v="0"/>
    <x v="0"/>
    <n v="1.0065700675507601"/>
    <n v="2E+20"/>
    <n v="0"/>
    <n v="6"/>
    <n v="0"/>
    <n v="0"/>
    <s v="Unnamed ProjectBianca.QueueNumber WaitingQueue"/>
    <n v="1"/>
    <n v="1.0065700675507601"/>
    <n v="0"/>
    <n v="0.95"/>
    <n v="4E+20"/>
    <n v="1.0065700675507601"/>
    <n v="1.0065700675507601"/>
    <n v="2E+20"/>
  </r>
  <r>
    <x v="0"/>
    <s v="2025-10-28 23:55:29"/>
    <n v="1"/>
    <x v="3"/>
    <x v="0"/>
    <x v="0"/>
    <n v="2.4654204148541701"/>
    <n v="2E+20"/>
    <n v="0"/>
    <n v="11"/>
    <n v="5"/>
    <n v="0"/>
    <s v="Unnamed ProjectCarl.QueueNumber WaitingQueue"/>
    <n v="1"/>
    <n v="2.4654204148541701"/>
    <n v="0"/>
    <n v="0.95"/>
    <n v="4E+20"/>
    <n v="2.4654204148541701"/>
    <n v="2.4654204148541701"/>
    <n v="2E+20"/>
  </r>
  <r>
    <x v="0"/>
    <s v="2025-10-28 23:55:29"/>
    <n v="1"/>
    <x v="4"/>
    <x v="0"/>
    <x v="0"/>
    <n v="3.8685561677640701"/>
    <n v="2E+20"/>
    <n v="0"/>
    <n v="13"/>
    <n v="4"/>
    <n v="0"/>
    <s v="Unnamed ProjectDeeta.QueueNumber WaitingQueue"/>
    <n v="1"/>
    <n v="3.8685561677640701"/>
    <n v="0"/>
    <n v="0.95"/>
    <n v="4E+20"/>
    <n v="3.8685561677640701"/>
    <n v="3.8685561677640701"/>
    <n v="2E+20"/>
  </r>
  <r>
    <x v="0"/>
    <s v="2025-10-28 23:55:29"/>
    <n v="1"/>
    <x v="5"/>
    <x v="2"/>
    <x v="2"/>
    <n v="0.82329655017289904"/>
    <n v="2E+20"/>
    <n v="0"/>
    <n v="1"/>
    <n v="1"/>
    <n v="0"/>
    <s v="Unnamed Projectr AliInstantaneous UtilizationResource"/>
    <n v="1"/>
    <n v="0.82329655017289904"/>
    <n v="0"/>
    <n v="0.95"/>
    <n v="4E+20"/>
    <n v="0.82329655017289904"/>
    <n v="0.82329655017289904"/>
    <n v="2E+20"/>
  </r>
  <r>
    <x v="0"/>
    <s v="2025-10-28 23:55:29"/>
    <n v="1"/>
    <x v="5"/>
    <x v="3"/>
    <x v="2"/>
    <n v="0.82329655017289904"/>
    <n v="2E+20"/>
    <n v="0"/>
    <n v="1"/>
    <n v="1"/>
    <n v="0"/>
    <s v="Unnamed Projectr AliNumber BusyResource"/>
    <n v="1"/>
    <n v="0.82329655017289904"/>
    <n v="0"/>
    <n v="0.95"/>
    <n v="4E+20"/>
    <n v="0.82329655017289904"/>
    <n v="0.82329655017289904"/>
    <n v="2E+20"/>
  </r>
  <r>
    <x v="0"/>
    <s v="2025-10-28 23:55:29"/>
    <n v="1"/>
    <x v="5"/>
    <x v="4"/>
    <x v="2"/>
    <n v="1"/>
    <n v="2E+20"/>
    <n v="1"/>
    <n v="1"/>
    <n v="1"/>
    <n v="0"/>
    <s v="Unnamed Projectr AliNumber ScheduledResource"/>
    <n v="1"/>
    <n v="1"/>
    <n v="0"/>
    <n v="0.95"/>
    <n v="4E+20"/>
    <n v="1"/>
    <n v="1"/>
    <n v="2E+20"/>
  </r>
  <r>
    <x v="0"/>
    <s v="2025-10-28 23:55:29"/>
    <n v="1"/>
    <x v="6"/>
    <x v="2"/>
    <x v="2"/>
    <n v="0.703391577450038"/>
    <n v="2E+20"/>
    <n v="0"/>
    <n v="1"/>
    <n v="0"/>
    <n v="0"/>
    <s v="Unnamed Projectr BiancaInstantaneous UtilizationResource"/>
    <n v="1"/>
    <n v="0.703391577450038"/>
    <n v="0"/>
    <n v="0.95"/>
    <n v="4E+20"/>
    <n v="0.703391577450038"/>
    <n v="0.703391577450038"/>
    <n v="2E+20"/>
  </r>
  <r>
    <x v="0"/>
    <s v="2025-10-28 23:55:29"/>
    <n v="1"/>
    <x v="6"/>
    <x v="3"/>
    <x v="2"/>
    <n v="0.703391577450038"/>
    <n v="2E+20"/>
    <n v="0"/>
    <n v="1"/>
    <n v="0"/>
    <n v="0"/>
    <s v="Unnamed Projectr BiancaNumber BusyResource"/>
    <n v="1"/>
    <n v="0.703391577450038"/>
    <n v="0"/>
    <n v="0.95"/>
    <n v="4E+20"/>
    <n v="0.703391577450038"/>
    <n v="0.703391577450038"/>
    <n v="2E+20"/>
  </r>
  <r>
    <x v="0"/>
    <s v="2025-10-28 23:55:29"/>
    <n v="1"/>
    <x v="6"/>
    <x v="4"/>
    <x v="2"/>
    <n v="1"/>
    <n v="2E+20"/>
    <n v="1"/>
    <n v="1"/>
    <n v="1"/>
    <n v="0"/>
    <s v="Unnamed Projectr BiancaNumber ScheduledResource"/>
    <n v="1"/>
    <n v="1"/>
    <n v="0"/>
    <n v="0.95"/>
    <n v="4E+20"/>
    <n v="1"/>
    <n v="1"/>
    <n v="2E+20"/>
  </r>
  <r>
    <x v="0"/>
    <s v="2025-10-28 23:55:29"/>
    <n v="1"/>
    <x v="7"/>
    <x v="2"/>
    <x v="2"/>
    <n v="0.80437930497408405"/>
    <n v="2E+20"/>
    <n v="0"/>
    <n v="1"/>
    <n v="1"/>
    <n v="0"/>
    <s v="Unnamed Projectr CarlInstantaneous UtilizationResource"/>
    <n v="1"/>
    <n v="0.80437930497408405"/>
    <n v="0"/>
    <n v="0.95"/>
    <n v="4E+20"/>
    <n v="0.80437930497408405"/>
    <n v="0.80437930497408405"/>
    <n v="2E+20"/>
  </r>
  <r>
    <x v="0"/>
    <s v="2025-10-28 23:55:29"/>
    <n v="1"/>
    <x v="7"/>
    <x v="3"/>
    <x v="2"/>
    <n v="0.80437930497408405"/>
    <n v="2E+20"/>
    <n v="0"/>
    <n v="1"/>
    <n v="1"/>
    <n v="0"/>
    <s v="Unnamed Projectr CarlNumber BusyResource"/>
    <n v="1"/>
    <n v="0.80437930497408405"/>
    <n v="0"/>
    <n v="0.95"/>
    <n v="4E+20"/>
    <n v="0.80437930497408405"/>
    <n v="0.80437930497408405"/>
    <n v="2E+20"/>
  </r>
  <r>
    <x v="0"/>
    <s v="2025-10-28 23:55:29"/>
    <n v="1"/>
    <x v="7"/>
    <x v="4"/>
    <x v="2"/>
    <n v="1"/>
    <n v="2E+20"/>
    <n v="1"/>
    <n v="1"/>
    <n v="1"/>
    <n v="0"/>
    <s v="Unnamed Projectr CarlNumber ScheduledResource"/>
    <n v="1"/>
    <n v="1"/>
    <n v="0"/>
    <n v="0.95"/>
    <n v="4E+20"/>
    <n v="1"/>
    <n v="1"/>
    <n v="2E+20"/>
  </r>
  <r>
    <x v="0"/>
    <s v="2025-10-28 23:55:29"/>
    <n v="1"/>
    <x v="8"/>
    <x v="2"/>
    <x v="2"/>
    <n v="0.80800953105086604"/>
    <n v="2E+20"/>
    <n v="0"/>
    <n v="1"/>
    <n v="1"/>
    <n v="0"/>
    <s v="Unnamed Projectr DeetaInstantaneous UtilizationResource"/>
    <n v="1"/>
    <n v="0.80800953105086604"/>
    <n v="0"/>
    <n v="0.95"/>
    <n v="4E+20"/>
    <n v="0.80800953105086604"/>
    <n v="0.80800953105086604"/>
    <n v="2E+20"/>
  </r>
  <r>
    <x v="0"/>
    <s v="2025-10-28 23:55:29"/>
    <n v="1"/>
    <x v="8"/>
    <x v="3"/>
    <x v="2"/>
    <n v="0.80800953105086604"/>
    <n v="2E+20"/>
    <n v="0"/>
    <n v="1"/>
    <n v="1"/>
    <n v="0"/>
    <s v="Unnamed Projectr DeetaNumber BusyResource"/>
    <n v="1"/>
    <n v="0.80800953105086604"/>
    <n v="0"/>
    <n v="0.95"/>
    <n v="4E+20"/>
    <n v="0.80800953105086604"/>
    <n v="0.80800953105086604"/>
    <n v="2E+20"/>
  </r>
  <r>
    <x v="0"/>
    <s v="2025-10-28 23:55:29"/>
    <n v="1"/>
    <x v="8"/>
    <x v="4"/>
    <x v="2"/>
    <n v="1"/>
    <n v="2E+20"/>
    <n v="1"/>
    <n v="1"/>
    <n v="1"/>
    <n v="0"/>
    <s v="Unnamed Projectr DeetaNumber ScheduledResource"/>
    <n v="1"/>
    <n v="1"/>
    <n v="0"/>
    <n v="0.95"/>
    <n v="4E+20"/>
    <n v="1"/>
    <n v="1"/>
    <n v="2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10-28 23:55:29"/>
    <n v="1"/>
    <x v="0"/>
    <x v="0"/>
    <x v="0"/>
    <n v="2.3733421251543301"/>
    <n v="2E+20"/>
    <n v="0"/>
    <n v="8.0901012124901399"/>
    <n v="129"/>
    <s v="Unnamed ProjectAli Checks Credit.QueueWaiting TimeQueue"/>
    <n v="1"/>
    <n v="2.3733421251543301"/>
    <n v="0"/>
    <n v="0.95"/>
    <n v="4E+20"/>
    <n v="2.3733421251543301"/>
    <n v="2.3733421251543301"/>
    <n v="0"/>
    <n v="8.0901012124901399"/>
    <n v="129"/>
    <n v="2E+20"/>
    <n v="1"/>
    <n v="1"/>
  </r>
  <r>
    <x v="0"/>
    <s v="2025-10-28 23:55:29"/>
    <n v="1"/>
    <x v="1"/>
    <x v="1"/>
    <x v="1"/>
    <n v="0"/>
    <n v="2E+20"/>
    <n v="0"/>
    <n v="0"/>
    <n v="117"/>
    <s v="Unnamed ProjectApplicationNVA TimeEntity"/>
    <n v="1"/>
    <n v="0"/>
    <n v="0"/>
    <n v="0.95"/>
    <n v="4E+20"/>
    <n v="0"/>
    <n v="0"/>
    <n v="0"/>
    <n v="0"/>
    <n v="117"/>
    <n v="2E+20"/>
    <n v="1"/>
    <n v="1"/>
  </r>
  <r>
    <x v="0"/>
    <s v="2025-10-28 23:55:29"/>
    <n v="1"/>
    <x v="1"/>
    <x v="2"/>
    <x v="1"/>
    <n v="0"/>
    <n v="2E+20"/>
    <n v="0"/>
    <n v="0"/>
    <n v="117"/>
    <s v="Unnamed ProjectApplicationOther TimeEntity"/>
    <n v="1"/>
    <n v="0"/>
    <n v="0"/>
    <n v="0.95"/>
    <n v="4E+20"/>
    <n v="0"/>
    <n v="0"/>
    <n v="0"/>
    <n v="0"/>
    <n v="117"/>
    <n v="2E+20"/>
    <n v="1"/>
    <n v="1"/>
  </r>
  <r>
    <x v="0"/>
    <s v="2025-10-28 23:55:29"/>
    <n v="1"/>
    <x v="1"/>
    <x v="3"/>
    <x v="1"/>
    <n v="16.083121149221402"/>
    <n v="2E+20"/>
    <n v="1.42205915049971"/>
    <n v="27.208906682975901"/>
    <n v="117"/>
    <s v="Unnamed ProjectApplicationTotal TimeEntity"/>
    <n v="1"/>
    <n v="16.083121149221402"/>
    <n v="0"/>
    <n v="0.95"/>
    <n v="4E+20"/>
    <n v="16.083121149221402"/>
    <n v="16.083121149221402"/>
    <n v="1.42205915049971"/>
    <n v="27.208906682975901"/>
    <n v="117"/>
    <n v="2E+20"/>
    <n v="1"/>
    <n v="1"/>
  </r>
  <r>
    <x v="0"/>
    <s v="2025-10-28 23:55:29"/>
    <n v="1"/>
    <x v="1"/>
    <x v="4"/>
    <x v="1"/>
    <n v="0"/>
    <n v="2E+20"/>
    <n v="0"/>
    <n v="0"/>
    <n v="117"/>
    <s v="Unnamed ProjectApplicationTransfer TimeEntity"/>
    <n v="1"/>
    <n v="0"/>
    <n v="0"/>
    <n v="0.95"/>
    <n v="4E+20"/>
    <n v="0"/>
    <n v="0"/>
    <n v="0"/>
    <n v="0"/>
    <n v="117"/>
    <n v="2E+20"/>
    <n v="1"/>
    <n v="1"/>
  </r>
  <r>
    <x v="0"/>
    <s v="2025-10-28 23:55:29"/>
    <n v="1"/>
    <x v="1"/>
    <x v="5"/>
    <x v="1"/>
    <n v="4.0989844983864003"/>
    <n v="2E+20"/>
    <n v="0.74808800264314401"/>
    <n v="9.7546354520470295"/>
    <n v="117"/>
    <s v="Unnamed ProjectApplicationVA TimeEntity"/>
    <n v="1"/>
    <n v="4.0989844983864003"/>
    <n v="0"/>
    <n v="0.95"/>
    <n v="4E+20"/>
    <n v="4.0989844983864003"/>
    <n v="4.0989844983864003"/>
    <n v="0.74808800264314401"/>
    <n v="9.7546354520470295"/>
    <n v="117"/>
    <n v="2E+20"/>
    <n v="1"/>
    <n v="1"/>
  </r>
  <r>
    <x v="0"/>
    <s v="2025-10-28 23:55:29"/>
    <n v="1"/>
    <x v="1"/>
    <x v="6"/>
    <x v="1"/>
    <n v="11.984136650835"/>
    <n v="2E+20"/>
    <n v="0"/>
    <n v="22.273227542410002"/>
    <n v="117"/>
    <s v="Unnamed ProjectApplicationWait TimeEntity"/>
    <n v="1"/>
    <n v="11.984136650835"/>
    <n v="0"/>
    <n v="0.95"/>
    <n v="4E+20"/>
    <n v="11.984136650835"/>
    <n v="11.984136650835"/>
    <n v="0"/>
    <n v="22.273227542410002"/>
    <n v="117"/>
    <n v="2E+20"/>
    <n v="1"/>
    <n v="1"/>
  </r>
  <r>
    <x v="0"/>
    <s v="2025-10-28 23:55:29"/>
    <n v="1"/>
    <x v="2"/>
    <x v="0"/>
    <x v="0"/>
    <n v="1.25821258443845"/>
    <n v="2E+20"/>
    <n v="0"/>
    <n v="5.6280502603772904"/>
    <n v="128"/>
    <s v="Unnamed ProjectBianca.QueueWaiting TimeQueue"/>
    <n v="1"/>
    <n v="1.25821258443845"/>
    <n v="0"/>
    <n v="0.95"/>
    <n v="4E+20"/>
    <n v="1.25821258443845"/>
    <n v="1.25821258443845"/>
    <n v="0"/>
    <n v="5.6280502603772904"/>
    <n v="128"/>
    <n v="2E+20"/>
    <n v="1"/>
    <n v="1"/>
  </r>
  <r>
    <x v="0"/>
    <s v="2025-10-28 23:55:29"/>
    <n v="1"/>
    <x v="3"/>
    <x v="0"/>
    <x v="0"/>
    <n v="3.1120030025191401"/>
    <n v="2E+20"/>
    <n v="0"/>
    <n v="8.3766625289570698"/>
    <n v="123"/>
    <s v="Unnamed ProjectCarl.QueueWaiting TimeQueue"/>
    <n v="1"/>
    <n v="3.1120030025191401"/>
    <n v="0"/>
    <n v="0.95"/>
    <n v="4E+20"/>
    <n v="3.1120030025191401"/>
    <n v="3.1120030025191401"/>
    <n v="0"/>
    <n v="8.3766625289570698"/>
    <n v="123"/>
    <n v="2E+20"/>
    <n v="1"/>
    <n v="1"/>
  </r>
  <r>
    <x v="0"/>
    <s v="2025-10-28 23:55:29"/>
    <n v="1"/>
    <x v="4"/>
    <x v="0"/>
    <x v="0"/>
    <n v="5.1739178805425503"/>
    <n v="2E+20"/>
    <n v="0"/>
    <n v="15.3957359681482"/>
    <n v="118"/>
    <s v="Unnamed ProjectDeeta.QueueWaiting TimeQueue"/>
    <n v="1"/>
    <n v="5.1739178805425503"/>
    <n v="0"/>
    <n v="0.95"/>
    <n v="4E+20"/>
    <n v="5.1739178805425503"/>
    <n v="5.1739178805425503"/>
    <n v="0"/>
    <n v="15.3957359681482"/>
    <n v="118"/>
    <n v="2E+2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2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0"/>
        <item x="1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 v="3"/>
      <x v="1"/>
    </i>
    <i r="1">
      <x v="125"/>
      <x v="4"/>
      <x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" tableType="queryTable" totalsRowShown="0">
  <autoFilter ref="A1:Y11" xr:uid="{C3D003CA-1AFF-426C-A03D-D3AF5760DF1A}"/>
  <sortState xmlns:xlrd2="http://schemas.microsoft.com/office/spreadsheetml/2017/richdata2" ref="A2:Y11">
    <sortCondition ref="D1:D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25" x14ac:dyDescent="0.45"/>
  <cols>
    <col min="1" max="1" width="14.46484375" bestFit="1" customWidth="1"/>
    <col min="2" max="2" width="80.53125" bestFit="1" customWidth="1"/>
    <col min="3" max="3" width="17.59765625" bestFit="1" customWidth="1"/>
    <col min="4" max="4" width="11.19921875" bestFit="1" customWidth="1"/>
    <col min="5" max="5" width="21.53125" bestFit="1" customWidth="1"/>
    <col min="6" max="6" width="22.9296875" bestFit="1" customWidth="1"/>
    <col min="7" max="7" width="18.3984375" bestFit="1" customWidth="1"/>
    <col min="8" max="10" width="19.3984375" bestFit="1" customWidth="1"/>
    <col min="11" max="11" width="19.3984375" customWidth="1"/>
  </cols>
  <sheetData>
    <row r="1" spans="1:7" x14ac:dyDescent="0.4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5">
      <c r="A2" t="s">
        <v>67</v>
      </c>
      <c r="B2" t="s">
        <v>69</v>
      </c>
      <c r="C2" t="s">
        <v>70</v>
      </c>
      <c r="D2">
        <v>3</v>
      </c>
      <c r="E2">
        <v>1</v>
      </c>
      <c r="F2">
        <v>160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defaultRowHeight="14.25" x14ac:dyDescent="0.45"/>
  <cols>
    <col min="1" max="1" width="33.265625" customWidth="1"/>
    <col min="2" max="2" width="28.73046875" bestFit="1" customWidth="1"/>
    <col min="3" max="3" width="12.59765625" bestFit="1" customWidth="1"/>
    <col min="4" max="4" width="8.46484375" bestFit="1" customWidth="1"/>
    <col min="5" max="5" width="27.53125" bestFit="1" customWidth="1"/>
    <col min="6" max="6" width="18.86328125" bestFit="1" customWidth="1"/>
    <col min="7" max="7" width="9.53125" bestFit="1" customWidth="1"/>
    <col min="8" max="9" width="25.59765625" bestFit="1" customWidth="1"/>
    <col min="10" max="10" width="25.86328125" bestFit="1" customWidth="1"/>
    <col min="11" max="11" width="15.33203125" bestFit="1" customWidth="1"/>
    <col min="12" max="12" width="15.59765625" bestFit="1" customWidth="1"/>
    <col min="13" max="13" width="28" bestFit="1" customWidth="1"/>
    <col min="14" max="14" width="27.73046875" bestFit="1" customWidth="1"/>
    <col min="15" max="15" width="18.73046875" bestFit="1" customWidth="1"/>
    <col min="16" max="16" width="12" bestFit="1" customWidth="1"/>
    <col min="17" max="17" width="12.59765625" bestFit="1" customWidth="1"/>
    <col min="18" max="18" width="8.46484375" bestFit="1" customWidth="1"/>
    <col min="19" max="19" width="27.53125" bestFit="1" customWidth="1"/>
    <col min="20" max="20" width="9.53125" bestFit="1" customWidth="1"/>
    <col min="21" max="21" width="25.59765625" bestFit="1" customWidth="1"/>
    <col min="22" max="22" width="20.73046875" bestFit="1" customWidth="1"/>
    <col min="23" max="23" width="21.06640625" bestFit="1" customWidth="1"/>
    <col min="24" max="24" width="15.33203125" bestFit="1" customWidth="1"/>
    <col min="25" max="25" width="15.59765625" bestFit="1" customWidth="1"/>
    <col min="26" max="26" width="16.265625" bestFit="1" customWidth="1"/>
    <col min="27" max="27" width="20.73046875" bestFit="1" customWidth="1"/>
    <col min="28" max="28" width="24.73046875" bestFit="1" customWidth="1"/>
    <col min="29" max="29" width="12" bestFit="1" customWidth="1"/>
    <col min="30" max="30" width="8.46484375" bestFit="1" customWidth="1"/>
    <col min="31" max="31" width="23.73046875" bestFit="1" customWidth="1"/>
    <col min="32" max="32" width="9.53125" bestFit="1" customWidth="1"/>
    <col min="33" max="33" width="28.1328125" bestFit="1" customWidth="1"/>
    <col min="34" max="34" width="18.6640625" bestFit="1" customWidth="1"/>
    <col min="35" max="35" width="18.9296875" bestFit="1" customWidth="1"/>
    <col min="36" max="36" width="19.86328125" bestFit="1" customWidth="1"/>
    <col min="37" max="37" width="32.265625" bestFit="1" customWidth="1"/>
    <col min="38" max="38" width="24.73046875" bestFit="1" customWidth="1"/>
    <col min="39" max="39" width="12" bestFit="1" customWidth="1"/>
    <col min="40" max="40" width="8.46484375" bestFit="1" customWidth="1"/>
    <col min="41" max="41" width="23.73046875" bestFit="1" customWidth="1"/>
    <col min="42" max="42" width="9.53125" bestFit="1" customWidth="1"/>
    <col min="43" max="43" width="28.1328125" bestFit="1" customWidth="1"/>
    <col min="44" max="44" width="18.6640625" bestFit="1" customWidth="1"/>
    <col min="45" max="45" width="18.9296875" bestFit="1" customWidth="1"/>
    <col min="46" max="46" width="19.86328125" bestFit="1" customWidth="1"/>
    <col min="47" max="47" width="14.86328125" bestFit="1" customWidth="1"/>
    <col min="48" max="48" width="20.73046875" bestFit="1" customWidth="1"/>
    <col min="49" max="49" width="26.265625" bestFit="1" customWidth="1"/>
    <col min="50" max="50" width="8.46484375" bestFit="1" customWidth="1"/>
    <col min="51" max="51" width="25" bestFit="1" customWidth="1"/>
    <col min="52" max="52" width="25.86328125" bestFit="1" customWidth="1"/>
    <col min="53" max="53" width="27" bestFit="1" customWidth="1"/>
    <col min="54" max="54" width="24.86328125" bestFit="1" customWidth="1"/>
    <col min="55" max="55" width="29.265625" bestFit="1" customWidth="1"/>
    <col min="56" max="56" width="31.86328125" bestFit="1" customWidth="1"/>
    <col min="57" max="57" width="21.73046875" bestFit="1" customWidth="1"/>
  </cols>
  <sheetData>
    <row r="1" spans="1:52" ht="18" x14ac:dyDescent="0.55000000000000004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5">
      <c r="A3" t="s">
        <v>67</v>
      </c>
      <c r="B3" t="s">
        <v>71</v>
      </c>
      <c r="C3" t="s">
        <v>72</v>
      </c>
      <c r="D3" t="s">
        <v>73</v>
      </c>
      <c r="E3" s="5">
        <v>2.3733421251543301</v>
      </c>
      <c r="F3" s="5">
        <v>1</v>
      </c>
      <c r="G3" s="5">
        <v>2E+20</v>
      </c>
      <c r="H3" s="5">
        <v>0</v>
      </c>
      <c r="I3" s="5">
        <v>2.3733421251543301</v>
      </c>
      <c r="J3" s="5">
        <v>2.3733421251543301</v>
      </c>
      <c r="K3" s="5">
        <v>0</v>
      </c>
      <c r="L3" s="5">
        <v>8.0901012124901399</v>
      </c>
      <c r="M3" s="5">
        <v>129</v>
      </c>
      <c r="O3" t="s">
        <v>67</v>
      </c>
      <c r="P3" t="s">
        <v>71</v>
      </c>
      <c r="Q3" t="s">
        <v>85</v>
      </c>
      <c r="R3" t="s">
        <v>73</v>
      </c>
      <c r="S3" s="5">
        <v>1.91350708840568</v>
      </c>
      <c r="T3" s="5">
        <v>2E+20</v>
      </c>
      <c r="U3" s="5">
        <v>0</v>
      </c>
      <c r="V3" s="5">
        <v>1.91350708840568</v>
      </c>
      <c r="W3" s="5">
        <v>1.91350708840568</v>
      </c>
      <c r="X3" s="5">
        <v>0</v>
      </c>
      <c r="Y3" s="5">
        <v>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99</v>
      </c>
      <c r="AM3" t="s">
        <v>98</v>
      </c>
      <c r="AN3" t="s">
        <v>100</v>
      </c>
      <c r="AO3" s="5">
        <v>117</v>
      </c>
      <c r="AP3" s="5">
        <v>4E+20</v>
      </c>
      <c r="AQ3" s="5">
        <v>0</v>
      </c>
      <c r="AR3" s="5">
        <v>117</v>
      </c>
      <c r="AS3" s="5">
        <v>117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117</v>
      </c>
      <c r="P4" t="s">
        <v>74</v>
      </c>
      <c r="Q4" t="s">
        <v>86</v>
      </c>
      <c r="R4" t="s">
        <v>76</v>
      </c>
      <c r="S4" s="5">
        <v>12.393130702222599</v>
      </c>
      <c r="T4" s="5">
        <v>2E+20</v>
      </c>
      <c r="U4" s="5">
        <v>0</v>
      </c>
      <c r="V4" s="5">
        <v>12.393130702222599</v>
      </c>
      <c r="W4" s="5">
        <v>12.393130702222599</v>
      </c>
      <c r="X4" s="5">
        <v>0</v>
      </c>
      <c r="Y4" s="5">
        <v>21</v>
      </c>
      <c r="AL4" t="s">
        <v>95</v>
      </c>
      <c r="AM4" t="s">
        <v>96</v>
      </c>
      <c r="AN4" t="s">
        <v>76</v>
      </c>
      <c r="AO4" s="5">
        <v>129</v>
      </c>
      <c r="AP4" s="5">
        <v>4E+20</v>
      </c>
      <c r="AQ4" s="5">
        <v>0</v>
      </c>
      <c r="AR4" s="5">
        <v>129</v>
      </c>
      <c r="AS4" s="5">
        <v>129</v>
      </c>
    </row>
    <row r="5" spans="1:52" x14ac:dyDescent="0.45">
      <c r="C5" t="s">
        <v>77</v>
      </c>
      <c r="D5" t="s">
        <v>76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117</v>
      </c>
      <c r="P5" t="s">
        <v>82</v>
      </c>
      <c r="Q5" t="s">
        <v>85</v>
      </c>
      <c r="R5" t="s">
        <v>73</v>
      </c>
      <c r="S5" s="5">
        <v>1.0065700675507601</v>
      </c>
      <c r="T5" s="5">
        <v>2E+20</v>
      </c>
      <c r="U5" s="5">
        <v>0</v>
      </c>
      <c r="V5" s="5">
        <v>1.0065700675507601</v>
      </c>
      <c r="W5" s="5">
        <v>1.0065700675507601</v>
      </c>
      <c r="X5" s="5">
        <v>0</v>
      </c>
      <c r="Y5" s="5">
        <v>6</v>
      </c>
      <c r="AL5" t="s">
        <v>97</v>
      </c>
      <c r="AM5" t="s">
        <v>98</v>
      </c>
      <c r="AN5" t="s">
        <v>76</v>
      </c>
      <c r="AO5" s="5">
        <v>117</v>
      </c>
      <c r="AP5" s="5">
        <v>4E+20</v>
      </c>
      <c r="AQ5" s="5">
        <v>0</v>
      </c>
      <c r="AR5" s="5">
        <v>117</v>
      </c>
      <c r="AS5" s="5">
        <v>117</v>
      </c>
    </row>
    <row r="6" spans="1:52" x14ac:dyDescent="0.45">
      <c r="C6" t="s">
        <v>78</v>
      </c>
      <c r="D6" t="s">
        <v>76</v>
      </c>
      <c r="E6" s="5">
        <v>16.083121149221402</v>
      </c>
      <c r="F6" s="5">
        <v>1</v>
      </c>
      <c r="G6" s="5">
        <v>2E+20</v>
      </c>
      <c r="H6" s="5">
        <v>0</v>
      </c>
      <c r="I6" s="5">
        <v>16.083121149221402</v>
      </c>
      <c r="J6" s="5">
        <v>16.083121149221402</v>
      </c>
      <c r="K6" s="5">
        <v>1.42205915049971</v>
      </c>
      <c r="L6" s="5">
        <v>27.208906682975901</v>
      </c>
      <c r="M6" s="5">
        <v>117</v>
      </c>
      <c r="P6" t="s">
        <v>83</v>
      </c>
      <c r="Q6" t="s">
        <v>85</v>
      </c>
      <c r="R6" t="s">
        <v>73</v>
      </c>
      <c r="S6" s="5">
        <v>2.4654204148541701</v>
      </c>
      <c r="T6" s="5">
        <v>2E+20</v>
      </c>
      <c r="U6" s="5">
        <v>0</v>
      </c>
      <c r="V6" s="5">
        <v>2.4654204148541701</v>
      </c>
      <c r="W6" s="5">
        <v>2.4654204148541701</v>
      </c>
      <c r="X6" s="5">
        <v>0</v>
      </c>
      <c r="Y6" s="5">
        <v>11</v>
      </c>
      <c r="AL6" t="s">
        <v>101</v>
      </c>
      <c r="AM6" t="s">
        <v>102</v>
      </c>
      <c r="AN6" t="s">
        <v>89</v>
      </c>
      <c r="AO6" s="5">
        <v>129</v>
      </c>
      <c r="AP6" s="5">
        <v>4E+20</v>
      </c>
      <c r="AQ6" s="5">
        <v>0</v>
      </c>
      <c r="AR6" s="5">
        <v>129</v>
      </c>
      <c r="AS6" s="5">
        <v>129</v>
      </c>
    </row>
    <row r="7" spans="1:52" x14ac:dyDescent="0.45">
      <c r="C7" t="s">
        <v>79</v>
      </c>
      <c r="D7" t="s">
        <v>76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117</v>
      </c>
      <c r="P7" t="s">
        <v>84</v>
      </c>
      <c r="Q7" t="s">
        <v>85</v>
      </c>
      <c r="R7" t="s">
        <v>73</v>
      </c>
      <c r="S7" s="5">
        <v>3.8685561677640701</v>
      </c>
      <c r="T7" s="5">
        <v>2E+20</v>
      </c>
      <c r="U7" s="5">
        <v>0</v>
      </c>
      <c r="V7" s="5">
        <v>3.8685561677640701</v>
      </c>
      <c r="W7" s="5">
        <v>3.8685561677640701</v>
      </c>
      <c r="X7" s="5">
        <v>0</v>
      </c>
      <c r="Y7" s="5">
        <v>13</v>
      </c>
      <c r="AL7" t="s">
        <v>103</v>
      </c>
      <c r="AM7" t="s">
        <v>104</v>
      </c>
      <c r="AN7" t="s">
        <v>89</v>
      </c>
      <c r="AO7" s="5">
        <v>0.82329655017289904</v>
      </c>
      <c r="AP7" s="5">
        <v>4E+20</v>
      </c>
      <c r="AQ7" s="5">
        <v>0</v>
      </c>
      <c r="AR7" s="5">
        <v>0.82329655017289904</v>
      </c>
      <c r="AS7" s="5">
        <v>0.82329655017289904</v>
      </c>
    </row>
    <row r="8" spans="1:52" x14ac:dyDescent="0.45">
      <c r="C8" t="s">
        <v>80</v>
      </c>
      <c r="D8" t="s">
        <v>76</v>
      </c>
      <c r="E8" s="5">
        <v>4.0989844983864003</v>
      </c>
      <c r="F8" s="5">
        <v>1</v>
      </c>
      <c r="G8" s="5">
        <v>2E+20</v>
      </c>
      <c r="H8" s="5">
        <v>0</v>
      </c>
      <c r="I8" s="5">
        <v>4.0989844983864003</v>
      </c>
      <c r="J8" s="5">
        <v>4.0989844983864003</v>
      </c>
      <c r="K8" s="5">
        <v>0.74808800264314401</v>
      </c>
      <c r="L8" s="5">
        <v>9.7546354520470295</v>
      </c>
      <c r="M8" s="5">
        <v>117</v>
      </c>
      <c r="P8" t="s">
        <v>87</v>
      </c>
      <c r="Q8" t="s">
        <v>88</v>
      </c>
      <c r="R8" t="s">
        <v>89</v>
      </c>
      <c r="S8" s="5">
        <v>0.82329655017289904</v>
      </c>
      <c r="T8" s="5">
        <v>2E+20</v>
      </c>
      <c r="U8" s="5">
        <v>0</v>
      </c>
      <c r="V8" s="5">
        <v>0.82329655017289904</v>
      </c>
      <c r="W8" s="5">
        <v>0.82329655017289904</v>
      </c>
      <c r="X8" s="5">
        <v>0</v>
      </c>
      <c r="Y8" s="5">
        <v>1</v>
      </c>
      <c r="AL8" t="s">
        <v>105</v>
      </c>
      <c r="AM8" t="s">
        <v>102</v>
      </c>
      <c r="AN8" t="s">
        <v>89</v>
      </c>
      <c r="AO8" s="5">
        <v>128</v>
      </c>
      <c r="AP8" s="5">
        <v>4E+20</v>
      </c>
      <c r="AQ8" s="5">
        <v>0</v>
      </c>
      <c r="AR8" s="5">
        <v>128</v>
      </c>
      <c r="AS8" s="5">
        <v>128</v>
      </c>
    </row>
    <row r="9" spans="1:52" x14ac:dyDescent="0.45">
      <c r="C9" t="s">
        <v>81</v>
      </c>
      <c r="D9" t="s">
        <v>76</v>
      </c>
      <c r="E9" s="5">
        <v>11.984136650835</v>
      </c>
      <c r="F9" s="5">
        <v>1</v>
      </c>
      <c r="G9" s="5">
        <v>2E+20</v>
      </c>
      <c r="H9" s="5">
        <v>0</v>
      </c>
      <c r="I9" s="5">
        <v>11.984136650835</v>
      </c>
      <c r="J9" s="5">
        <v>11.984136650835</v>
      </c>
      <c r="K9" s="5">
        <v>0</v>
      </c>
      <c r="L9" s="5">
        <v>22.273227542410002</v>
      </c>
      <c r="M9" s="5">
        <v>117</v>
      </c>
      <c r="Q9" t="s">
        <v>90</v>
      </c>
      <c r="R9" t="s">
        <v>89</v>
      </c>
      <c r="S9" s="5">
        <v>0.82329655017289904</v>
      </c>
      <c r="T9" s="5">
        <v>2E+20</v>
      </c>
      <c r="U9" s="5">
        <v>0</v>
      </c>
      <c r="V9" s="5">
        <v>0.82329655017289904</v>
      </c>
      <c r="W9" s="5">
        <v>0.82329655017289904</v>
      </c>
      <c r="X9" s="5">
        <v>0</v>
      </c>
      <c r="Y9" s="5">
        <v>1</v>
      </c>
      <c r="AL9" t="s">
        <v>106</v>
      </c>
      <c r="AM9" t="s">
        <v>104</v>
      </c>
      <c r="AN9" t="s">
        <v>89</v>
      </c>
      <c r="AO9" s="5">
        <v>0.703391577450038</v>
      </c>
      <c r="AP9" s="5">
        <v>4E+20</v>
      </c>
      <c r="AQ9" s="5">
        <v>0</v>
      </c>
      <c r="AR9" s="5">
        <v>0.703391577450038</v>
      </c>
      <c r="AS9" s="5">
        <v>0.703391577450038</v>
      </c>
    </row>
    <row r="10" spans="1:52" x14ac:dyDescent="0.45">
      <c r="B10" t="s">
        <v>82</v>
      </c>
      <c r="C10" t="s">
        <v>72</v>
      </c>
      <c r="D10" t="s">
        <v>73</v>
      </c>
      <c r="E10" s="5">
        <v>1.25821258443845</v>
      </c>
      <c r="F10" s="5">
        <v>1</v>
      </c>
      <c r="G10" s="5">
        <v>2E+20</v>
      </c>
      <c r="H10" s="5">
        <v>0</v>
      </c>
      <c r="I10" s="5">
        <v>1.25821258443845</v>
      </c>
      <c r="J10" s="5">
        <v>1.25821258443845</v>
      </c>
      <c r="K10" s="5">
        <v>0</v>
      </c>
      <c r="L10" s="5">
        <v>5.6280502603772904</v>
      </c>
      <c r="M10" s="5">
        <v>128</v>
      </c>
      <c r="Q10" t="s">
        <v>91</v>
      </c>
      <c r="R10" t="s">
        <v>89</v>
      </c>
      <c r="S10" s="5">
        <v>1</v>
      </c>
      <c r="T10" s="5">
        <v>2E+20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107</v>
      </c>
      <c r="AM10" t="s">
        <v>102</v>
      </c>
      <c r="AN10" t="s">
        <v>89</v>
      </c>
      <c r="AO10" s="5">
        <v>123</v>
      </c>
      <c r="AP10" s="5">
        <v>4E+20</v>
      </c>
      <c r="AQ10" s="5">
        <v>0</v>
      </c>
      <c r="AR10" s="5">
        <v>123</v>
      </c>
      <c r="AS10" s="5">
        <v>123</v>
      </c>
    </row>
    <row r="11" spans="1:52" x14ac:dyDescent="0.45">
      <c r="B11" t="s">
        <v>83</v>
      </c>
      <c r="C11" t="s">
        <v>72</v>
      </c>
      <c r="D11" t="s">
        <v>73</v>
      </c>
      <c r="E11" s="5">
        <v>3.1120030025191401</v>
      </c>
      <c r="F11" s="5">
        <v>1</v>
      </c>
      <c r="G11" s="5">
        <v>2E+20</v>
      </c>
      <c r="H11" s="5">
        <v>0</v>
      </c>
      <c r="I11" s="5">
        <v>3.1120030025191401</v>
      </c>
      <c r="J11" s="5">
        <v>3.1120030025191401</v>
      </c>
      <c r="K11" s="5">
        <v>0</v>
      </c>
      <c r="L11" s="5">
        <v>8.3766625289570698</v>
      </c>
      <c r="M11" s="5">
        <v>123</v>
      </c>
      <c r="P11" t="s">
        <v>92</v>
      </c>
      <c r="Q11" t="s">
        <v>88</v>
      </c>
      <c r="R11" t="s">
        <v>89</v>
      </c>
      <c r="S11" s="5">
        <v>0.703391577450038</v>
      </c>
      <c r="T11" s="5">
        <v>2E+20</v>
      </c>
      <c r="U11" s="5">
        <v>0</v>
      </c>
      <c r="V11" s="5">
        <v>0.703391577450038</v>
      </c>
      <c r="W11" s="5">
        <v>0.703391577450038</v>
      </c>
      <c r="X11" s="5">
        <v>0</v>
      </c>
      <c r="Y11" s="5">
        <v>1</v>
      </c>
      <c r="AL11" t="s">
        <v>108</v>
      </c>
      <c r="AM11" t="s">
        <v>104</v>
      </c>
      <c r="AN11" t="s">
        <v>89</v>
      </c>
      <c r="AO11" s="5">
        <v>0.80437930497408405</v>
      </c>
      <c r="AP11" s="5">
        <v>4E+20</v>
      </c>
      <c r="AQ11" s="5">
        <v>0</v>
      </c>
      <c r="AR11" s="5">
        <v>0.80437930497408405</v>
      </c>
      <c r="AS11" s="5">
        <v>0.80437930497408405</v>
      </c>
    </row>
    <row r="12" spans="1:52" x14ac:dyDescent="0.45">
      <c r="B12" t="s">
        <v>84</v>
      </c>
      <c r="C12" t="s">
        <v>72</v>
      </c>
      <c r="D12" t="s">
        <v>73</v>
      </c>
      <c r="E12" s="5">
        <v>5.1739178805425503</v>
      </c>
      <c r="F12" s="5">
        <v>1</v>
      </c>
      <c r="G12" s="5">
        <v>2E+20</v>
      </c>
      <c r="H12" s="5">
        <v>0</v>
      </c>
      <c r="I12" s="5">
        <v>5.1739178805425503</v>
      </c>
      <c r="J12" s="5">
        <v>5.1739178805425503</v>
      </c>
      <c r="K12" s="5">
        <v>0</v>
      </c>
      <c r="L12" s="5">
        <v>15.3957359681482</v>
      </c>
      <c r="M12" s="5">
        <v>118</v>
      </c>
      <c r="Q12" t="s">
        <v>90</v>
      </c>
      <c r="R12" t="s">
        <v>89</v>
      </c>
      <c r="S12" s="5">
        <v>0.703391577450038</v>
      </c>
      <c r="T12" s="5">
        <v>2E+20</v>
      </c>
      <c r="U12" s="5">
        <v>0</v>
      </c>
      <c r="V12" s="5">
        <v>0.703391577450038</v>
      </c>
      <c r="W12" s="5">
        <v>0.703391577450038</v>
      </c>
      <c r="X12" s="5">
        <v>0</v>
      </c>
      <c r="Y12" s="5">
        <v>1</v>
      </c>
      <c r="AL12" t="s">
        <v>109</v>
      </c>
      <c r="AM12" t="s">
        <v>102</v>
      </c>
      <c r="AN12" t="s">
        <v>89</v>
      </c>
      <c r="AO12" s="5">
        <v>118</v>
      </c>
      <c r="AP12" s="5">
        <v>4E+20</v>
      </c>
      <c r="AQ12" s="5">
        <v>0</v>
      </c>
      <c r="AR12" s="5">
        <v>118</v>
      </c>
      <c r="AS12" s="5">
        <v>118</v>
      </c>
    </row>
    <row r="13" spans="1:52" x14ac:dyDescent="0.45">
      <c r="Q13" t="s">
        <v>91</v>
      </c>
      <c r="R13" t="s">
        <v>89</v>
      </c>
      <c r="S13" s="5">
        <v>1</v>
      </c>
      <c r="T13" s="5">
        <v>2E+20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110</v>
      </c>
      <c r="AM13" t="s">
        <v>104</v>
      </c>
      <c r="AN13" t="s">
        <v>89</v>
      </c>
      <c r="AO13" s="5">
        <v>0.80800953105086604</v>
      </c>
      <c r="AP13" s="5">
        <v>4E+20</v>
      </c>
      <c r="AQ13" s="5">
        <v>0</v>
      </c>
      <c r="AR13" s="5">
        <v>0.80800953105086604</v>
      </c>
      <c r="AS13" s="5">
        <v>0.80800953105086604</v>
      </c>
    </row>
    <row r="14" spans="1:52" x14ac:dyDescent="0.45">
      <c r="P14" t="s">
        <v>93</v>
      </c>
      <c r="Q14" t="s">
        <v>88</v>
      </c>
      <c r="R14" t="s">
        <v>89</v>
      </c>
      <c r="S14" s="5">
        <v>0.80437930497408405</v>
      </c>
      <c r="T14" s="5">
        <v>2E+20</v>
      </c>
      <c r="U14" s="5">
        <v>0</v>
      </c>
      <c r="V14" s="5">
        <v>0.80437930497408405</v>
      </c>
      <c r="W14" s="5">
        <v>0.80437930497408405</v>
      </c>
      <c r="X14" s="5">
        <v>0</v>
      </c>
      <c r="Y14" s="5">
        <v>1</v>
      </c>
    </row>
    <row r="15" spans="1:52" x14ac:dyDescent="0.45">
      <c r="Q15" t="s">
        <v>90</v>
      </c>
      <c r="R15" t="s">
        <v>89</v>
      </c>
      <c r="S15" s="5">
        <v>0.80437930497408405</v>
      </c>
      <c r="T15" s="5">
        <v>2E+20</v>
      </c>
      <c r="U15" s="5">
        <v>0</v>
      </c>
      <c r="V15" s="5">
        <v>0.80437930497408405</v>
      </c>
      <c r="W15" s="5">
        <v>0.80437930497408405</v>
      </c>
      <c r="X15" s="5">
        <v>0</v>
      </c>
      <c r="Y15" s="5">
        <v>1</v>
      </c>
    </row>
    <row r="16" spans="1:52" x14ac:dyDescent="0.45">
      <c r="Q16" t="s">
        <v>91</v>
      </c>
      <c r="R16" t="s">
        <v>89</v>
      </c>
      <c r="S16" s="5">
        <v>1</v>
      </c>
      <c r="T16" s="5">
        <v>2E+20</v>
      </c>
      <c r="U16" s="5">
        <v>0</v>
      </c>
      <c r="V16" s="5">
        <v>1</v>
      </c>
      <c r="W16" s="5">
        <v>1</v>
      </c>
      <c r="X16" s="5">
        <v>1</v>
      </c>
      <c r="Y16" s="5">
        <v>1</v>
      </c>
    </row>
    <row r="17" spans="16:25" x14ac:dyDescent="0.45">
      <c r="P17" t="s">
        <v>94</v>
      </c>
      <c r="Q17" t="s">
        <v>88</v>
      </c>
      <c r="R17" t="s">
        <v>89</v>
      </c>
      <c r="S17" s="5">
        <v>0.80800953105086604</v>
      </c>
      <c r="T17" s="5">
        <v>2E+20</v>
      </c>
      <c r="U17" s="5">
        <v>0</v>
      </c>
      <c r="V17" s="5">
        <v>0.80800953105086604</v>
      </c>
      <c r="W17" s="5">
        <v>0.80800953105086604</v>
      </c>
      <c r="X17" s="5">
        <v>0</v>
      </c>
      <c r="Y17" s="5">
        <v>1</v>
      </c>
    </row>
    <row r="18" spans="16:25" x14ac:dyDescent="0.45">
      <c r="Q18" t="s">
        <v>90</v>
      </c>
      <c r="R18" t="s">
        <v>89</v>
      </c>
      <c r="S18" s="5">
        <v>0.80800953105086604</v>
      </c>
      <c r="T18" s="5">
        <v>2E+20</v>
      </c>
      <c r="U18" s="5">
        <v>0</v>
      </c>
      <c r="V18" s="5">
        <v>0.80800953105086604</v>
      </c>
      <c r="W18" s="5">
        <v>0.80800953105086604</v>
      </c>
      <c r="X18" s="5">
        <v>0</v>
      </c>
      <c r="Y18" s="5">
        <v>1</v>
      </c>
    </row>
    <row r="19" spans="16:25" x14ac:dyDescent="0.45">
      <c r="Q19" t="s">
        <v>91</v>
      </c>
      <c r="R19" t="s">
        <v>89</v>
      </c>
      <c r="S19" s="5">
        <v>1</v>
      </c>
      <c r="T19" s="5">
        <v>2E+20</v>
      </c>
      <c r="U19" s="5">
        <v>0</v>
      </c>
      <c r="V19" s="5">
        <v>1</v>
      </c>
      <c r="W19" s="5">
        <v>1</v>
      </c>
      <c r="X19" s="5">
        <v>1</v>
      </c>
      <c r="Y19" s="5">
        <v>1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"/>
  <sheetViews>
    <sheetView workbookViewId="0">
      <selection activeCell="A2" sqref="A2:K6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19.59765625" bestFit="1" customWidth="1"/>
    <col min="5" max="5" width="11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10" width="11.73046875" bestFit="1" customWidth="1"/>
    <col min="11" max="11" width="20.53125" bestFit="1" customWidth="1"/>
    <col min="12" max="12" width="49.53125" bestFit="1" customWidth="1"/>
    <col min="13" max="13" width="15.6640625" bestFit="1" customWidth="1"/>
    <col min="14" max="14" width="18.265625" bestFit="1" customWidth="1"/>
    <col min="15" max="15" width="16.33203125" bestFit="1" customWidth="1"/>
    <col min="16" max="16" width="18.3984375" bestFit="1" customWidth="1"/>
    <col min="17" max="17" width="11.1328125" bestFit="1" customWidth="1"/>
    <col min="18" max="18" width="17.59765625" bestFit="1" customWidth="1"/>
    <col min="19" max="19" width="17.86328125" bestFit="1" customWidth="1"/>
    <col min="20" max="20" width="16.73046875" bestFit="1" customWidth="1"/>
    <col min="21" max="21" width="17" bestFit="1" customWidth="1"/>
    <col min="22" max="22" width="27.33203125" bestFit="1" customWidth="1"/>
    <col min="23" max="23" width="18.9296875" bestFit="1" customWidth="1"/>
    <col min="24" max="24" width="22" bestFit="1" customWidth="1"/>
    <col min="25" max="25" width="20.59765625" bestFit="1" customWidth="1"/>
  </cols>
  <sheetData>
    <row r="1" spans="1:2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2.3733421251543301</v>
      </c>
      <c r="H2">
        <v>2E+20</v>
      </c>
      <c r="I2">
        <v>0</v>
      </c>
      <c r="J2">
        <v>8.0901012124901399</v>
      </c>
      <c r="K2">
        <v>129</v>
      </c>
      <c r="L2" t="str">
        <f>DiscreteStatsTable[[#This Row],[ProjectName]]&amp;DiscreteStatsTable[[#This Row],[Name]]&amp;DiscreteStatsTable[[#This Row],[Type]]&amp;DiscreteStatsTable[[#This Row],[Source]]</f>
        <v>Unnamed ProjectAli Checks Credit.QueueWaiting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2.3733421251543301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2.3733421251543301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2.3733421251543301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8.0901012124901399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129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4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2E+20</v>
      </c>
      <c r="I3">
        <v>0</v>
      </c>
      <c r="J3">
        <v>0</v>
      </c>
      <c r="K3">
        <v>117</v>
      </c>
      <c r="L3" t="str">
        <f>DiscreteStatsTable[[#This Row],[ProjectName]]&amp;DiscreteStatsTable[[#This Row],[Name]]&amp;DiscreteStatsTable[[#This Row],[Type]]&amp;DiscreteStatsTable[[#This Row],[Source]]</f>
        <v>Unnamed ProjectApplicationNVA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117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4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2E+20</v>
      </c>
      <c r="I4">
        <v>0</v>
      </c>
      <c r="J4">
        <v>0</v>
      </c>
      <c r="K4">
        <v>117</v>
      </c>
      <c r="L4" t="str">
        <f>DiscreteStatsTable[[#This Row],[ProjectName]]&amp;DiscreteStatsTable[[#This Row],[Name]]&amp;DiscreteStatsTable[[#This Row],[Type]]&amp;DiscreteStatsTable[[#This Row],[Source]]</f>
        <v>Unnamed ProjectApplicationOther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117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4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16.083121149221402</v>
      </c>
      <c r="H5">
        <v>2E+20</v>
      </c>
      <c r="I5">
        <v>1.42205915049971</v>
      </c>
      <c r="J5">
        <v>27.208906682975901</v>
      </c>
      <c r="K5">
        <v>117</v>
      </c>
      <c r="L5" t="str">
        <f>DiscreteStatsTable[[#This Row],[ProjectName]]&amp;DiscreteStatsTable[[#This Row],[Name]]&amp;DiscreteStatsTable[[#This Row],[Type]]&amp;DiscreteStatsTable[[#This Row],[Source]]</f>
        <v>Unnamed ProjectApplicationTotal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16.083121149221402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16.083121149221402</v>
      </c>
      <c r="S5" cm="1">
        <f t="array" ref="S5">MAX(IF((DiscreteStatsTable[GroupByKey]=DiscreteStatsTable[[#This Row],[GroupByKey]]),(DiscreteStatsTable[GroupByKey]=DiscreteStatsTable[[#This Row],[GroupByKey]])*DiscreteStatsTable[Average]))</f>
        <v>16.083121149221402</v>
      </c>
      <c r="T5" cm="1">
        <f t="array" ref="T5">MIN(IF((DiscreteStatsTable[GroupByKey]=DiscreteStatsTable[[#This Row],[GroupByKey]]),(DiscreteStatsTable[GroupByKey]=DiscreteStatsTable[[#This Row],[GroupByKey]])*DiscreteStatsTable[Minimum]))</f>
        <v>1.42205915049971</v>
      </c>
      <c r="U5" cm="1">
        <f t="array" ref="U5">MAX(IF((DiscreteStatsTable[GroupByKey]=DiscreteStatsTable[[#This Row],[GroupByKey]]),(DiscreteStatsTable[GroupByKey]=DiscreteStatsTable[[#This Row],[GroupByKey]])*DiscreteStatsTable[Maximum]))</f>
        <v>27.208906682975901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117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45">
      <c r="A6" t="s">
        <v>67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117</v>
      </c>
      <c r="L6" t="str">
        <f>DiscreteStatsTable[[#This Row],[ProjectName]]&amp;DiscreteStatsTable[[#This Row],[Name]]&amp;DiscreteStatsTable[[#This Row],[Type]]&amp;DiscreteStatsTable[[#This Row],[Source]]</f>
        <v>Unnamed ProjectApplicationTransfer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117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45">
      <c r="A7" t="s">
        <v>67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4.0989844983864003</v>
      </c>
      <c r="H7">
        <v>2E+20</v>
      </c>
      <c r="I7">
        <v>0.74808800264314401</v>
      </c>
      <c r="J7">
        <v>9.7546354520470295</v>
      </c>
      <c r="K7">
        <v>117</v>
      </c>
      <c r="L7" t="str">
        <f>DiscreteStatsTable[[#This Row],[ProjectName]]&amp;DiscreteStatsTable[[#This Row],[Name]]&amp;DiscreteStatsTable[[#This Row],[Type]]&amp;DiscreteStatsTable[[#This Row],[Source]]</f>
        <v>Unnamed ProjectApplicationVA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4.0989844983864003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4.0989844983864003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4.0989844983864003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0.74808800264314401</v>
      </c>
      <c r="U7" cm="1">
        <f t="array" ref="U7">MAX(IF((DiscreteStatsTable[GroupByKey]=DiscreteStatsTable[[#This Row],[GroupByKey]]),(DiscreteStatsTable[GroupByKey]=DiscreteStatsTable[[#This Row],[GroupByKey]])*DiscreteStatsTable[Maximum]))</f>
        <v>9.7546354520470295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117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45">
      <c r="A8" t="s">
        <v>67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11.984136650835</v>
      </c>
      <c r="H8">
        <v>2E+20</v>
      </c>
      <c r="I8">
        <v>0</v>
      </c>
      <c r="J8">
        <v>22.273227542410002</v>
      </c>
      <c r="K8">
        <v>117</v>
      </c>
      <c r="L8" t="str">
        <f>DiscreteStatsTable[[#This Row],[ProjectName]]&amp;DiscreteStatsTable[[#This Row],[Name]]&amp;DiscreteStatsTable[[#This Row],[Type]]&amp;DiscreteStatsTable[[#This Row],[Source]]</f>
        <v>Unnamed ProjectApplicationWait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11.984136650835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11.984136650835</v>
      </c>
      <c r="S8" cm="1">
        <f t="array" ref="S8">MAX(IF((DiscreteStatsTable[GroupByKey]=DiscreteStatsTable[[#This Row],[GroupByKey]]),(DiscreteStatsTable[GroupByKey]=DiscreteStatsTable[[#This Row],[GroupByKey]])*DiscreteStatsTable[Average]))</f>
        <v>11.984136650835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22.273227542410002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117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45">
      <c r="A9" t="s">
        <v>67</v>
      </c>
      <c r="B9" t="s">
        <v>70</v>
      </c>
      <c r="C9">
        <v>1</v>
      </c>
      <c r="D9" t="s">
        <v>82</v>
      </c>
      <c r="E9" t="s">
        <v>72</v>
      </c>
      <c r="F9" t="s">
        <v>73</v>
      </c>
      <c r="G9">
        <v>1.25821258443845</v>
      </c>
      <c r="H9">
        <v>2E+20</v>
      </c>
      <c r="I9">
        <v>0</v>
      </c>
      <c r="J9">
        <v>5.6280502603772904</v>
      </c>
      <c r="K9">
        <v>128</v>
      </c>
      <c r="L9" t="str">
        <f>DiscreteStatsTable[[#This Row],[ProjectName]]&amp;DiscreteStatsTable[[#This Row],[Name]]&amp;DiscreteStatsTable[[#This Row],[Type]]&amp;DiscreteStatsTable[[#This Row],[Source]]</f>
        <v>Unnamed ProjectBianca.QueueWaiting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1.25821258443845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1.25821258443845</v>
      </c>
      <c r="S9" cm="1">
        <f t="array" ref="S9">MAX(IF((DiscreteStatsTable[GroupByKey]=DiscreteStatsTable[[#This Row],[GroupByKey]]),(DiscreteStatsTable[GroupByKey]=DiscreteStatsTable[[#This Row],[GroupByKey]])*DiscreteStatsTable[Average]))</f>
        <v>1.25821258443845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5.6280502603772904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128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45">
      <c r="A10" t="s">
        <v>67</v>
      </c>
      <c r="B10" t="s">
        <v>70</v>
      </c>
      <c r="C10">
        <v>1</v>
      </c>
      <c r="D10" t="s">
        <v>83</v>
      </c>
      <c r="E10" t="s">
        <v>72</v>
      </c>
      <c r="F10" t="s">
        <v>73</v>
      </c>
      <c r="G10">
        <v>3.1120030025191401</v>
      </c>
      <c r="H10">
        <v>2E+20</v>
      </c>
      <c r="I10">
        <v>0</v>
      </c>
      <c r="J10">
        <v>8.3766625289570698</v>
      </c>
      <c r="K10">
        <v>123</v>
      </c>
      <c r="L10" t="str">
        <f>DiscreteStatsTable[[#This Row],[ProjectName]]&amp;DiscreteStatsTable[[#This Row],[Name]]&amp;DiscreteStatsTable[[#This Row],[Type]]&amp;DiscreteStatsTable[[#This Row],[Source]]</f>
        <v>Unnamed ProjectCarl.QueueWaiting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3.1120030025191401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3.1120030025191401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3.1120030025191401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8.3766625289570698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123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45">
      <c r="A11" t="s">
        <v>67</v>
      </c>
      <c r="B11" t="s">
        <v>70</v>
      </c>
      <c r="C11">
        <v>1</v>
      </c>
      <c r="D11" t="s">
        <v>84</v>
      </c>
      <c r="E11" t="s">
        <v>72</v>
      </c>
      <c r="F11" t="s">
        <v>73</v>
      </c>
      <c r="G11">
        <v>5.1739178805425503</v>
      </c>
      <c r="H11">
        <v>2E+20</v>
      </c>
      <c r="I11">
        <v>0</v>
      </c>
      <c r="J11">
        <v>15.3957359681482</v>
      </c>
      <c r="K11">
        <v>118</v>
      </c>
      <c r="L11" t="str">
        <f>DiscreteStatsTable[[#This Row],[ProjectName]]&amp;DiscreteStatsTable[[#This Row],[Name]]&amp;DiscreteStatsTable[[#This Row],[Type]]&amp;DiscreteStatsTable[[#This Row],[Source]]</f>
        <v>Unnamed ProjectDeeta.QueueWaiting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5.1739178805425503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5.1739178805425503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5.1739178805425503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15.3957359681482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118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</sheetData>
  <phoneticPr fontId="2" type="noConversion"/>
  <conditionalFormatting sqref="H2:H11 Q2:Q11">
    <cfRule type="expression" dxfId="20" priority="23">
      <formula>H2=200000000000000000000</formula>
    </cfRule>
  </conditionalFormatting>
  <conditionalFormatting sqref="H2:H11">
    <cfRule type="expression" dxfId="19" priority="21">
      <formula>H2=300000000000000000000</formula>
    </cfRule>
  </conditionalFormatting>
  <conditionalFormatting sqref="L2:Y11">
    <cfRule type="expression" dxfId="18" priority="19">
      <formula>MOD(ROW(),2)=0</formula>
    </cfRule>
  </conditionalFormatting>
  <conditionalFormatting sqref="Y2:Y11">
    <cfRule type="expression" dxfId="17" priority="14">
      <formula>Y2=0</formula>
    </cfRule>
    <cfRule type="expression" dxfId="16" priority="16">
      <formula>Y2=1</formula>
    </cfRule>
  </conditionalFormatting>
  <conditionalFormatting sqref="Y3:Y11">
    <cfRule type="expression" dxfId="15" priority="15">
      <formula>Y3=1</formula>
    </cfRule>
  </conditionalFormatting>
  <conditionalFormatting sqref="W2:W1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1 W2:W1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19.59765625" bestFit="1" customWidth="1"/>
    <col min="5" max="5" width="20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9" width="10.86328125" bestFit="1" customWidth="1"/>
    <col min="10" max="10" width="11.1328125" bestFit="1" customWidth="1"/>
    <col min="11" max="11" width="18.53125" bestFit="1" customWidth="1"/>
    <col min="12" max="12" width="10.796875" bestFit="1" customWidth="1"/>
    <col min="13" max="13" width="52.06640625" bestFit="1" customWidth="1"/>
    <col min="14" max="14" width="15.6640625" bestFit="1" customWidth="1"/>
    <col min="15" max="15" width="18.265625" bestFit="1" customWidth="1"/>
    <col min="16" max="16" width="16.33203125" bestFit="1" customWidth="1"/>
    <col min="17" max="17" width="18.3984375" bestFit="1" customWidth="1"/>
    <col min="18" max="18" width="11.1328125" bestFit="1" customWidth="1"/>
    <col min="19" max="19" width="17.59765625" bestFit="1" customWidth="1"/>
    <col min="20" max="20" width="17.86328125" bestFit="1" customWidth="1"/>
    <col min="21" max="21" width="18.9296875" bestFit="1" customWidth="1"/>
    <col min="22" max="22" width="20" bestFit="1" customWidth="1"/>
  </cols>
  <sheetData>
    <row r="1" spans="1:21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5">
      <c r="A2" t="s">
        <v>67</v>
      </c>
      <c r="B2" t="s">
        <v>70</v>
      </c>
      <c r="C2">
        <v>1</v>
      </c>
      <c r="D2" t="s">
        <v>71</v>
      </c>
      <c r="E2" t="s">
        <v>85</v>
      </c>
      <c r="F2" t="s">
        <v>73</v>
      </c>
      <c r="G2">
        <v>1.91350708840568</v>
      </c>
      <c r="H2">
        <v>2E+20</v>
      </c>
      <c r="I2">
        <v>0</v>
      </c>
      <c r="J2">
        <v>8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ProjectAli Checks Credit.QueueNumber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1.91350708840568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1.91350708840568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1.91350708840568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45">
      <c r="A3" t="s">
        <v>67</v>
      </c>
      <c r="B3" t="s">
        <v>70</v>
      </c>
      <c r="C3">
        <v>1</v>
      </c>
      <c r="D3" t="s">
        <v>74</v>
      </c>
      <c r="E3" t="s">
        <v>86</v>
      </c>
      <c r="F3" t="s">
        <v>76</v>
      </c>
      <c r="G3">
        <v>12.393130702222599</v>
      </c>
      <c r="H3">
        <v>2E+20</v>
      </c>
      <c r="I3">
        <v>0</v>
      </c>
      <c r="J3">
        <v>21</v>
      </c>
      <c r="K3">
        <v>12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ProjectApplicationWIPEntity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12.393130702222599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12.393130702222599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12.393130702222599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45">
      <c r="A4" t="s">
        <v>67</v>
      </c>
      <c r="B4" t="s">
        <v>70</v>
      </c>
      <c r="C4">
        <v>1</v>
      </c>
      <c r="D4" t="s">
        <v>82</v>
      </c>
      <c r="E4" t="s">
        <v>85</v>
      </c>
      <c r="F4" t="s">
        <v>73</v>
      </c>
      <c r="G4">
        <v>1.0065700675507601</v>
      </c>
      <c r="H4">
        <v>2E+20</v>
      </c>
      <c r="I4">
        <v>0</v>
      </c>
      <c r="J4">
        <v>6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ProjectBianca.QueueNumber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1.0065700675507601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1.0065700675507601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1.0065700675507601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45">
      <c r="A5" t="s">
        <v>67</v>
      </c>
      <c r="B5" t="s">
        <v>70</v>
      </c>
      <c r="C5">
        <v>1</v>
      </c>
      <c r="D5" t="s">
        <v>83</v>
      </c>
      <c r="E5" t="s">
        <v>85</v>
      </c>
      <c r="F5" t="s">
        <v>73</v>
      </c>
      <c r="G5">
        <v>2.4654204148541701</v>
      </c>
      <c r="H5">
        <v>2E+20</v>
      </c>
      <c r="I5">
        <v>0</v>
      </c>
      <c r="J5">
        <v>11</v>
      </c>
      <c r="K5">
        <v>5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ProjectCarl.QueueNumber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2.4654204148541701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2.4654204148541701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2.4654204148541701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45">
      <c r="A6" t="s">
        <v>67</v>
      </c>
      <c r="B6" t="s">
        <v>70</v>
      </c>
      <c r="C6">
        <v>1</v>
      </c>
      <c r="D6" t="s">
        <v>84</v>
      </c>
      <c r="E6" t="s">
        <v>85</v>
      </c>
      <c r="F6" t="s">
        <v>73</v>
      </c>
      <c r="G6">
        <v>3.8685561677640701</v>
      </c>
      <c r="H6">
        <v>2E+20</v>
      </c>
      <c r="I6">
        <v>0</v>
      </c>
      <c r="J6">
        <v>13</v>
      </c>
      <c r="K6">
        <v>4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ProjectDeeta.QueueNumber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3.8685561677640701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3.8685561677640701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3.8685561677640701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45">
      <c r="A7" t="s">
        <v>67</v>
      </c>
      <c r="B7" t="s">
        <v>70</v>
      </c>
      <c r="C7">
        <v>1</v>
      </c>
      <c r="D7" t="s">
        <v>87</v>
      </c>
      <c r="E7" t="s">
        <v>88</v>
      </c>
      <c r="F7" t="s">
        <v>89</v>
      </c>
      <c r="G7">
        <v>0.82329655017289904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 AliInstantaneous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0.82329655017289904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0.82329655017289904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0.82329655017289904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45">
      <c r="A8" t="s">
        <v>67</v>
      </c>
      <c r="B8" t="s">
        <v>70</v>
      </c>
      <c r="C8">
        <v>1</v>
      </c>
      <c r="D8" t="s">
        <v>87</v>
      </c>
      <c r="E8" t="s">
        <v>90</v>
      </c>
      <c r="F8" t="s">
        <v>89</v>
      </c>
      <c r="G8">
        <v>0.82329655017289904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 AliNumber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0.82329655017289904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0.82329655017289904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0.82329655017289904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45">
      <c r="A9" t="s">
        <v>67</v>
      </c>
      <c r="B9" t="s">
        <v>70</v>
      </c>
      <c r="C9">
        <v>1</v>
      </c>
      <c r="D9" t="s">
        <v>87</v>
      </c>
      <c r="E9" t="s">
        <v>91</v>
      </c>
      <c r="F9" t="s">
        <v>89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 AliNumber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45">
      <c r="A10" t="s">
        <v>67</v>
      </c>
      <c r="B10" t="s">
        <v>70</v>
      </c>
      <c r="C10">
        <v>1</v>
      </c>
      <c r="D10" t="s">
        <v>92</v>
      </c>
      <c r="E10" t="s">
        <v>88</v>
      </c>
      <c r="F10" t="s">
        <v>89</v>
      </c>
      <c r="G10">
        <v>0.703391577450038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 BiancaInstantaneous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0.703391577450038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0.703391577450038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0.703391577450038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45">
      <c r="A11" t="s">
        <v>67</v>
      </c>
      <c r="B11" t="s">
        <v>70</v>
      </c>
      <c r="C11">
        <v>1</v>
      </c>
      <c r="D11" t="s">
        <v>92</v>
      </c>
      <c r="E11" t="s">
        <v>90</v>
      </c>
      <c r="F11" t="s">
        <v>89</v>
      </c>
      <c r="G11">
        <v>0.703391577450038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 BiancaNumber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0.703391577450038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0.703391577450038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0.703391577450038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45">
      <c r="A12" t="s">
        <v>67</v>
      </c>
      <c r="B12" t="s">
        <v>70</v>
      </c>
      <c r="C12">
        <v>1</v>
      </c>
      <c r="D12" t="s">
        <v>92</v>
      </c>
      <c r="E12" t="s">
        <v>91</v>
      </c>
      <c r="F12" t="s">
        <v>89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Projectr BiancaNumber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45">
      <c r="A13" t="s">
        <v>67</v>
      </c>
      <c r="B13" t="s">
        <v>70</v>
      </c>
      <c r="C13">
        <v>1</v>
      </c>
      <c r="D13" t="s">
        <v>93</v>
      </c>
      <c r="E13" t="s">
        <v>88</v>
      </c>
      <c r="F13" t="s">
        <v>89</v>
      </c>
      <c r="G13">
        <v>0.80437930497408405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Projectr CarlInstantaneous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0.80437930497408405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0.80437930497408405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0.80437930497408405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45">
      <c r="A14" t="s">
        <v>67</v>
      </c>
      <c r="B14" t="s">
        <v>70</v>
      </c>
      <c r="C14">
        <v>1</v>
      </c>
      <c r="D14" t="s">
        <v>93</v>
      </c>
      <c r="E14" t="s">
        <v>90</v>
      </c>
      <c r="F14" t="s">
        <v>89</v>
      </c>
      <c r="G14">
        <v>0.80437930497408405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 CarlNumber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0.80437930497408405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0.80437930497408405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0.80437930497408405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45">
      <c r="A15" t="s">
        <v>67</v>
      </c>
      <c r="B15" t="s">
        <v>70</v>
      </c>
      <c r="C15">
        <v>1</v>
      </c>
      <c r="D15" t="s">
        <v>93</v>
      </c>
      <c r="E15" t="s">
        <v>91</v>
      </c>
      <c r="F15" t="s">
        <v>89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 CarlNumber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45">
      <c r="A16" t="s">
        <v>67</v>
      </c>
      <c r="B16" t="s">
        <v>70</v>
      </c>
      <c r="C16">
        <v>1</v>
      </c>
      <c r="D16" t="s">
        <v>94</v>
      </c>
      <c r="E16" t="s">
        <v>88</v>
      </c>
      <c r="F16" t="s">
        <v>89</v>
      </c>
      <c r="G16">
        <v>0.80800953105086604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 DeetaInstantaneous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0.80800953105086604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0.80800953105086604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0.80800953105086604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45">
      <c r="A17" t="s">
        <v>67</v>
      </c>
      <c r="B17" t="s">
        <v>70</v>
      </c>
      <c r="C17">
        <v>1</v>
      </c>
      <c r="D17" t="s">
        <v>94</v>
      </c>
      <c r="E17" t="s">
        <v>90</v>
      </c>
      <c r="F17" t="s">
        <v>89</v>
      </c>
      <c r="G17">
        <v>0.80800953105086604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 DeetaNumber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0.80800953105086604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0.80800953105086604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0.80800953105086604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45">
      <c r="A18" t="s">
        <v>67</v>
      </c>
      <c r="B18" t="s">
        <v>70</v>
      </c>
      <c r="C18">
        <v>1</v>
      </c>
      <c r="D18" t="s">
        <v>94</v>
      </c>
      <c r="E18" t="s">
        <v>91</v>
      </c>
      <c r="F18" t="s">
        <v>89</v>
      </c>
      <c r="G18">
        <v>1</v>
      </c>
      <c r="H18">
        <v>2E+20</v>
      </c>
      <c r="I18">
        <v>1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Projectr DeetaNumber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6.86328125" bestFit="1" customWidth="1"/>
    <col min="6" max="6" width="8.46484375" bestFit="1" customWidth="1"/>
    <col min="7" max="7" width="15.33203125" bestFit="1" customWidth="1"/>
    <col min="8" max="8" width="13" bestFit="1" customWidth="1"/>
    <col min="9" max="9" width="15.6640625" bestFit="1" customWidth="1"/>
    <col min="10" max="10" width="9.59765625" bestFit="1" customWidth="1"/>
    <col min="11" max="11" width="18.1328125" bestFit="1" customWidth="1"/>
    <col min="12" max="12" width="18.3984375" bestFit="1" customWidth="1"/>
    <col min="13" max="13" width="11.1328125" bestFit="1" customWidth="1"/>
    <col min="14" max="14" width="10.86328125" bestFit="1" customWidth="1"/>
    <col min="15" max="15" width="11.1328125" bestFit="1" customWidth="1"/>
  </cols>
  <sheetData>
    <row r="1" spans="1:1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23.86328125" bestFit="1" customWidth="1"/>
    <col min="5" max="5" width="17.46484375" bestFit="1" customWidth="1"/>
    <col min="6" max="6" width="8.46484375" bestFit="1" customWidth="1"/>
    <col min="7" max="7" width="15.33203125" bestFit="1" customWidth="1"/>
    <col min="8" max="8" width="10.796875" bestFit="1" customWidth="1"/>
    <col min="9" max="9" width="61.9296875" bestFit="1" customWidth="1"/>
    <col min="10" max="10" width="15.6640625" bestFit="1" customWidth="1"/>
    <col min="11" max="11" width="11.73046875" bestFit="1" customWidth="1"/>
    <col min="12" max="12" width="18.1328125" bestFit="1" customWidth="1"/>
    <col min="13" max="13" width="18.3984375" bestFit="1" customWidth="1"/>
    <col min="14" max="14" width="11.1328125" bestFit="1" customWidth="1"/>
    <col min="15" max="16" width="11.73046875" bestFit="1" customWidth="1"/>
  </cols>
  <sheetData>
    <row r="1" spans="1:16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5">
      <c r="A2" t="s">
        <v>67</v>
      </c>
      <c r="B2" t="s">
        <v>70</v>
      </c>
      <c r="C2">
        <v>1</v>
      </c>
      <c r="D2" t="s">
        <v>95</v>
      </c>
      <c r="E2" t="s">
        <v>96</v>
      </c>
      <c r="F2" t="s">
        <v>76</v>
      </c>
      <c r="G2">
        <v>129</v>
      </c>
      <c r="H2">
        <v>0</v>
      </c>
      <c r="I2" t="str">
        <f>OutputTable[[#This Row],[ProjectName]]&amp;OutputTable[[#This Row],[Name]]&amp;OutputTable[[#This Row],[Type]]&amp;OutputTable[[#This Row],[Source]]</f>
        <v>Unnamed ProjectApplication.NumberInNumber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129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129</v>
      </c>
      <c r="P2" cm="1">
        <f t="array" ref="P2">MAX(IF((OutputTable[GroupByKey]=OutputTable[[#This Row],[GroupByKey]]),(OutputTable[GroupByKey]=OutputTable[[#This Row],[GroupByKey]])*OutputTable[RecordedValue]))</f>
        <v>129</v>
      </c>
    </row>
    <row r="3" spans="1:16" x14ac:dyDescent="0.45">
      <c r="A3" t="s">
        <v>67</v>
      </c>
      <c r="B3" t="s">
        <v>70</v>
      </c>
      <c r="C3">
        <v>1</v>
      </c>
      <c r="D3" t="s">
        <v>97</v>
      </c>
      <c r="E3" t="s">
        <v>98</v>
      </c>
      <c r="F3" t="s">
        <v>76</v>
      </c>
      <c r="G3">
        <v>117</v>
      </c>
      <c r="H3">
        <v>0</v>
      </c>
      <c r="I3" t="str">
        <f>OutputTable[[#This Row],[ProjectName]]&amp;OutputTable[[#This Row],[Name]]&amp;OutputTable[[#This Row],[Type]]&amp;OutputTable[[#This Row],[Source]]</f>
        <v>Unnamed ProjectApplication.NumberOutNumber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117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117</v>
      </c>
      <c r="P3" cm="1">
        <f t="array" ref="P3">MAX(IF((OutputTable[GroupByKey]=OutputTable[[#This Row],[GroupByKey]]),(OutputTable[GroupByKey]=OutputTable[[#This Row],[GroupByKey]])*OutputTable[RecordedValue]))</f>
        <v>117</v>
      </c>
    </row>
    <row r="4" spans="1:16" x14ac:dyDescent="0.45">
      <c r="A4" t="s">
        <v>67</v>
      </c>
      <c r="B4" t="s">
        <v>70</v>
      </c>
      <c r="C4">
        <v>1</v>
      </c>
      <c r="D4" t="s">
        <v>99</v>
      </c>
      <c r="E4" t="s">
        <v>98</v>
      </c>
      <c r="F4" t="s">
        <v>100</v>
      </c>
      <c r="G4">
        <v>117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117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117</v>
      </c>
      <c r="P4" cm="1">
        <f t="array" ref="P4">MAX(IF((OutputTable[GroupByKey]=OutputTable[[#This Row],[GroupByKey]]),(OutputTable[GroupByKey]=OutputTable[[#This Row],[GroupByKey]])*OutputTable[RecordedValue]))</f>
        <v>117</v>
      </c>
    </row>
    <row r="5" spans="1:16" x14ac:dyDescent="0.45">
      <c r="A5" t="s">
        <v>67</v>
      </c>
      <c r="B5" t="s">
        <v>70</v>
      </c>
      <c r="C5">
        <v>1</v>
      </c>
      <c r="D5" t="s">
        <v>101</v>
      </c>
      <c r="E5" t="s">
        <v>102</v>
      </c>
      <c r="F5" t="s">
        <v>89</v>
      </c>
      <c r="G5">
        <v>129</v>
      </c>
      <c r="H5">
        <v>0</v>
      </c>
      <c r="I5" t="str">
        <f>OutputTable[[#This Row],[ProjectName]]&amp;OutputTable[[#This Row],[Name]]&amp;OutputTable[[#This Row],[Type]]&amp;OutputTable[[#This Row],[Source]]</f>
        <v>Unnamed Projectr Ali.NumberSeizedTotal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129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129</v>
      </c>
      <c r="P5" cm="1">
        <f t="array" ref="P5">MAX(IF((OutputTable[GroupByKey]=OutputTable[[#This Row],[GroupByKey]]),(OutputTable[GroupByKey]=OutputTable[[#This Row],[GroupByKey]])*OutputTable[RecordedValue]))</f>
        <v>129</v>
      </c>
    </row>
    <row r="6" spans="1:16" x14ac:dyDescent="0.45">
      <c r="A6" t="s">
        <v>67</v>
      </c>
      <c r="B6" t="s">
        <v>70</v>
      </c>
      <c r="C6">
        <v>1</v>
      </c>
      <c r="D6" t="s">
        <v>103</v>
      </c>
      <c r="E6" t="s">
        <v>104</v>
      </c>
      <c r="F6" t="s">
        <v>89</v>
      </c>
      <c r="G6">
        <v>0.82329655017289904</v>
      </c>
      <c r="H6">
        <v>0</v>
      </c>
      <c r="I6" t="str">
        <f>OutputTable[[#This Row],[ProjectName]]&amp;OutputTable[[#This Row],[Name]]&amp;OutputTable[[#This Row],[Type]]&amp;OutputTable[[#This Row],[Source]]</f>
        <v>Unnamed Projectr Ali.ScheduledUtilizationScheduled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0.82329655017289904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0.82329655017289904</v>
      </c>
      <c r="P6" cm="1">
        <f t="array" ref="P6">MAX(IF((OutputTable[GroupByKey]=OutputTable[[#This Row],[GroupByKey]]),(OutputTable[GroupByKey]=OutputTable[[#This Row],[GroupByKey]])*OutputTable[RecordedValue]))</f>
        <v>0.82329655017289904</v>
      </c>
    </row>
    <row r="7" spans="1:16" x14ac:dyDescent="0.45">
      <c r="A7" t="s">
        <v>67</v>
      </c>
      <c r="B7" t="s">
        <v>70</v>
      </c>
      <c r="C7">
        <v>1</v>
      </c>
      <c r="D7" t="s">
        <v>105</v>
      </c>
      <c r="E7" t="s">
        <v>102</v>
      </c>
      <c r="F7" t="s">
        <v>89</v>
      </c>
      <c r="G7">
        <v>128</v>
      </c>
      <c r="H7">
        <v>0</v>
      </c>
      <c r="I7" t="str">
        <f>OutputTable[[#This Row],[ProjectName]]&amp;OutputTable[[#This Row],[Name]]&amp;OutputTable[[#This Row],[Type]]&amp;OutputTable[[#This Row],[Source]]</f>
        <v>Unnamed Projectr Bianca.NumberSeizedTotal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128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128</v>
      </c>
      <c r="P7" cm="1">
        <f t="array" ref="P7">MAX(IF((OutputTable[GroupByKey]=OutputTable[[#This Row],[GroupByKey]]),(OutputTable[GroupByKey]=OutputTable[[#This Row],[GroupByKey]])*OutputTable[RecordedValue]))</f>
        <v>128</v>
      </c>
    </row>
    <row r="8" spans="1:16" x14ac:dyDescent="0.45">
      <c r="A8" t="s">
        <v>67</v>
      </c>
      <c r="B8" t="s">
        <v>70</v>
      </c>
      <c r="C8">
        <v>1</v>
      </c>
      <c r="D8" t="s">
        <v>106</v>
      </c>
      <c r="E8" t="s">
        <v>104</v>
      </c>
      <c r="F8" t="s">
        <v>89</v>
      </c>
      <c r="G8">
        <v>0.703391577450038</v>
      </c>
      <c r="H8">
        <v>0</v>
      </c>
      <c r="I8" t="str">
        <f>OutputTable[[#This Row],[ProjectName]]&amp;OutputTable[[#This Row],[Name]]&amp;OutputTable[[#This Row],[Type]]&amp;OutputTable[[#This Row],[Source]]</f>
        <v>Unnamed Projectr Bianca.ScheduledUtilizationScheduled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0.703391577450038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0.703391577450038</v>
      </c>
      <c r="P8" cm="1">
        <f t="array" ref="P8">MAX(IF((OutputTable[GroupByKey]=OutputTable[[#This Row],[GroupByKey]]),(OutputTable[GroupByKey]=OutputTable[[#This Row],[GroupByKey]])*OutputTable[RecordedValue]))</f>
        <v>0.703391577450038</v>
      </c>
    </row>
    <row r="9" spans="1:16" x14ac:dyDescent="0.45">
      <c r="A9" t="s">
        <v>67</v>
      </c>
      <c r="B9" t="s">
        <v>70</v>
      </c>
      <c r="C9">
        <v>1</v>
      </c>
      <c r="D9" t="s">
        <v>107</v>
      </c>
      <c r="E9" t="s">
        <v>102</v>
      </c>
      <c r="F9" t="s">
        <v>89</v>
      </c>
      <c r="G9">
        <v>123</v>
      </c>
      <c r="H9">
        <v>0</v>
      </c>
      <c r="I9" t="str">
        <f>OutputTable[[#This Row],[ProjectName]]&amp;OutputTable[[#This Row],[Name]]&amp;OutputTable[[#This Row],[Type]]&amp;OutputTable[[#This Row],[Source]]</f>
        <v>Unnamed Projectr Carl.NumberSeizedTotal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123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123</v>
      </c>
      <c r="P9" cm="1">
        <f t="array" ref="P9">MAX(IF((OutputTable[GroupByKey]=OutputTable[[#This Row],[GroupByKey]]),(OutputTable[GroupByKey]=OutputTable[[#This Row],[GroupByKey]])*OutputTable[RecordedValue]))</f>
        <v>123</v>
      </c>
    </row>
    <row r="10" spans="1:16" x14ac:dyDescent="0.45">
      <c r="A10" t="s">
        <v>67</v>
      </c>
      <c r="B10" t="s">
        <v>70</v>
      </c>
      <c r="C10">
        <v>1</v>
      </c>
      <c r="D10" t="s">
        <v>108</v>
      </c>
      <c r="E10" t="s">
        <v>104</v>
      </c>
      <c r="F10" t="s">
        <v>89</v>
      </c>
      <c r="G10">
        <v>0.80437930497408405</v>
      </c>
      <c r="H10">
        <v>0</v>
      </c>
      <c r="I10" t="str">
        <f>OutputTable[[#This Row],[ProjectName]]&amp;OutputTable[[#This Row],[Name]]&amp;OutputTable[[#This Row],[Type]]&amp;OutputTable[[#This Row],[Source]]</f>
        <v>Unnamed Projectr Carl.ScheduledUtilizationScheduled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0.80437930497408405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0.80437930497408405</v>
      </c>
      <c r="P10" cm="1">
        <f t="array" ref="P10">MAX(IF((OutputTable[GroupByKey]=OutputTable[[#This Row],[GroupByKey]]),(OutputTable[GroupByKey]=OutputTable[[#This Row],[GroupByKey]])*OutputTable[RecordedValue]))</f>
        <v>0.80437930497408405</v>
      </c>
    </row>
    <row r="11" spans="1:16" x14ac:dyDescent="0.45">
      <c r="A11" t="s">
        <v>67</v>
      </c>
      <c r="B11" t="s">
        <v>70</v>
      </c>
      <c r="C11">
        <v>1</v>
      </c>
      <c r="D11" t="s">
        <v>109</v>
      </c>
      <c r="E11" t="s">
        <v>102</v>
      </c>
      <c r="F11" t="s">
        <v>89</v>
      </c>
      <c r="G11">
        <v>118</v>
      </c>
      <c r="H11">
        <v>0</v>
      </c>
      <c r="I11" t="str">
        <f>OutputTable[[#This Row],[ProjectName]]&amp;OutputTable[[#This Row],[Name]]&amp;OutputTable[[#This Row],[Type]]&amp;OutputTable[[#This Row],[Source]]</f>
        <v>Unnamed Projectr Deeta.NumberSeizedTotal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118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118</v>
      </c>
      <c r="P11" cm="1">
        <f t="array" ref="P11">MAX(IF((OutputTable[GroupByKey]=OutputTable[[#This Row],[GroupByKey]]),(OutputTable[GroupByKey]=OutputTable[[#This Row],[GroupByKey]])*OutputTable[RecordedValue]))</f>
        <v>118</v>
      </c>
    </row>
    <row r="12" spans="1:16" x14ac:dyDescent="0.45">
      <c r="A12" t="s">
        <v>67</v>
      </c>
      <c r="B12" t="s">
        <v>70</v>
      </c>
      <c r="C12">
        <v>1</v>
      </c>
      <c r="D12" t="s">
        <v>110</v>
      </c>
      <c r="E12" t="s">
        <v>104</v>
      </c>
      <c r="F12" t="s">
        <v>89</v>
      </c>
      <c r="G12">
        <v>0.80800953105086604</v>
      </c>
      <c r="H12">
        <v>0</v>
      </c>
      <c r="I12" t="str">
        <f>OutputTable[[#This Row],[ProjectName]]&amp;OutputTable[[#This Row],[Name]]&amp;OutputTable[[#This Row],[Type]]&amp;OutputTable[[#This Row],[Source]]</f>
        <v>Unnamed Projectr Deeta.ScheduledUtilizationScheduled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0.80800953105086604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0.80800953105086604</v>
      </c>
      <c r="P12" cm="1">
        <f t="array" ref="P12">MAX(IF((OutputTable[GroupByKey]=OutputTable[[#This Row],[GroupByKey]]),(OutputTable[GroupByKey]=OutputTable[[#This Row],[GroupByKey]])*OutputTable[RecordedValue]))</f>
        <v>0.80800953105086604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10.1328125" bestFit="1" customWidth="1"/>
    <col min="6" max="6" width="8.46484375" bestFit="1" customWidth="1"/>
    <col min="7" max="7" width="19.46484375" bestFit="1" customWidth="1"/>
    <col min="8" max="8" width="20.33203125" bestFit="1" customWidth="1"/>
    <col min="9" max="9" width="22.53125" bestFit="1" customWidth="1"/>
    <col min="10" max="10" width="23.6640625" bestFit="1" customWidth="1"/>
    <col min="11" max="11" width="14.59765625" bestFit="1" customWidth="1"/>
    <col min="12" max="12" width="13" bestFit="1" customWidth="1"/>
    <col min="13" max="13" width="27.33203125" bestFit="1" customWidth="1"/>
    <col min="14" max="14" width="28.19921875" bestFit="1" customWidth="1"/>
    <col min="15" max="15" width="15.6640625" bestFit="1" customWidth="1"/>
    <col min="16" max="16" width="26.19921875" bestFit="1" customWidth="1"/>
    <col min="17" max="17" width="27.06640625" bestFit="1" customWidth="1"/>
    <col min="18" max="18" width="29.265625" bestFit="1" customWidth="1"/>
    <col min="19" max="19" width="28.265625" bestFit="1" customWidth="1"/>
    <col min="20" max="20" width="26.265625" bestFit="1" customWidth="1"/>
    <col min="21" max="21" width="29.86328125" bestFit="1" customWidth="1"/>
    <col min="22" max="22" width="31.86328125" bestFit="1" customWidth="1"/>
    <col min="23" max="23" width="32.1328125" bestFit="1" customWidth="1"/>
  </cols>
  <sheetData>
    <row r="1" spans="1:17" x14ac:dyDescent="0.4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45">
      <c r="B17" s="3"/>
    </row>
    <row r="18" spans="2:2" x14ac:dyDescent="0.45">
      <c r="B18" s="3"/>
    </row>
    <row r="19" spans="2:2" x14ac:dyDescent="0.45">
      <c r="B19" s="3"/>
    </row>
    <row r="20" spans="2:2" x14ac:dyDescent="0.45">
      <c r="B20" s="3"/>
    </row>
    <row r="21" spans="2:2" x14ac:dyDescent="0.45">
      <c r="B21" s="3"/>
    </row>
    <row r="22" spans="2:2" x14ac:dyDescent="0.45">
      <c r="B22" s="3"/>
    </row>
    <row r="23" spans="2:2" x14ac:dyDescent="0.45">
      <c r="B23" s="3"/>
    </row>
    <row r="24" spans="2:2" x14ac:dyDescent="0.45">
      <c r="B24" s="3"/>
    </row>
    <row r="25" spans="2:2" x14ac:dyDescent="0.45">
      <c r="B25" s="3"/>
    </row>
    <row r="26" spans="2:2" x14ac:dyDescent="0.45">
      <c r="B26" s="3"/>
    </row>
    <row r="27" spans="2:2" x14ac:dyDescent="0.45">
      <c r="B27" s="3"/>
    </row>
    <row r="28" spans="2:2" x14ac:dyDescent="0.45">
      <c r="B28" s="3"/>
    </row>
    <row r="29" spans="2:2" x14ac:dyDescent="0.45">
      <c r="B29" s="3"/>
    </row>
    <row r="30" spans="2:2" x14ac:dyDescent="0.45">
      <c r="B30" s="3"/>
    </row>
    <row r="31" spans="2:2" x14ac:dyDescent="0.4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Gil Raitses</cp:lastModifiedBy>
  <cp:lastPrinted>2022-03-22T10:33:10Z</cp:lastPrinted>
  <dcterms:created xsi:type="dcterms:W3CDTF">2020-06-29T21:30:31Z</dcterms:created>
  <dcterms:modified xsi:type="dcterms:W3CDTF">2025-10-29T03:55:52Z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