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umailsyr-my.sharepoint.com/personal/gjraitse_syr_edu/Documents/Documents/ECS630_SimulationAnalytics/"/>
    </mc:Choice>
  </mc:AlternateContent>
  <xr:revisionPtr revIDLastSave="2" documentId="13_ncr:1_{E908E2A7-198D-426C-9C82-3BB406316252}" xr6:coauthVersionLast="47" xr6:coauthVersionMax="47" xr10:uidLastSave="{2A98A235-9C38-4FE8-9CD9-7D5EC9B890CC}"/>
  <bookViews>
    <workbookView xWindow="-98" yWindow="-98" windowWidth="14955" windowHeight="999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J2" i="20" a="1"/>
  <c r="J2" i="20"/>
  <c r="J3" i="20" a="1"/>
  <c r="J3" i="20"/>
  <c r="J4" i="20" a="1"/>
  <c r="J4" i="20"/>
  <c r="J5" i="20" a="1"/>
  <c r="J5" i="20"/>
  <c r="J6" i="20" a="1"/>
  <c r="J6" i="20"/>
  <c r="K2" i="20" a="1"/>
  <c r="K2" i="20"/>
  <c r="K3" i="20" a="1"/>
  <c r="K3" i="20"/>
  <c r="K4" i="20" a="1"/>
  <c r="K4" i="20"/>
  <c r="K5" i="20" a="1"/>
  <c r="K5" i="20"/>
  <c r="K6" i="20" a="1"/>
  <c r="K6" i="20"/>
  <c r="L2" i="20" a="1"/>
  <c r="L2" i="20"/>
  <c r="L3" i="20" a="1"/>
  <c r="L3" i="20"/>
  <c r="L4" i="20" a="1"/>
  <c r="L4" i="20"/>
  <c r="L5" i="20" a="1"/>
  <c r="L5" i="20"/>
  <c r="L6" i="20" a="1"/>
  <c r="L6" i="20"/>
  <c r="M2" i="20" a="1"/>
  <c r="M2" i="20"/>
  <c r="M3" i="20" a="1"/>
  <c r="M3" i="20"/>
  <c r="M4" i="20" a="1"/>
  <c r="M4" i="20"/>
  <c r="M5" i="20" a="1"/>
  <c r="M5" i="20"/>
  <c r="M6" i="20" a="1"/>
  <c r="M6" i="20"/>
  <c r="N2" i="20"/>
  <c r="N3" i="20"/>
  <c r="N4" i="20"/>
  <c r="N5" i="20"/>
  <c r="N6" i="20"/>
  <c r="O2" i="20" a="1"/>
  <c r="O2" i="20"/>
  <c r="O3" i="20" a="1"/>
  <c r="O3" i="20"/>
  <c r="O4" i="20" a="1"/>
  <c r="O4" i="20"/>
  <c r="O5" i="20" a="1"/>
  <c r="O5" i="20"/>
  <c r="O6" i="20" a="1"/>
  <c r="O6" i="20"/>
  <c r="P2" i="20" a="1"/>
  <c r="P2" i="20"/>
  <c r="P3" i="20" a="1"/>
  <c r="P3" i="20"/>
  <c r="P4" i="20" a="1"/>
  <c r="P4" i="20"/>
  <c r="P5" i="20" a="1"/>
  <c r="P5" i="20"/>
  <c r="P6" i="20" a="1"/>
  <c r="P6" i="20"/>
  <c r="M2" i="18"/>
  <c r="M3" i="18"/>
  <c r="M4" i="18"/>
  <c r="M5" i="18"/>
  <c r="M6" i="18"/>
  <c r="N2" i="18" a="1"/>
  <c r="N2" i="18"/>
  <c r="N3" i="18" a="1"/>
  <c r="N3" i="18"/>
  <c r="N4" i="18" a="1"/>
  <c r="N4" i="18"/>
  <c r="N5" i="18" a="1"/>
  <c r="N5" i="18"/>
  <c r="N6" i="18" a="1"/>
  <c r="N6" i="18"/>
  <c r="O2" i="18" a="1"/>
  <c r="O2" i="18"/>
  <c r="O3" i="18" a="1"/>
  <c r="O3" i="18"/>
  <c r="O4" i="18" a="1"/>
  <c r="O4" i="18"/>
  <c r="O5" i="18" a="1"/>
  <c r="O5" i="18"/>
  <c r="O6" i="18" a="1"/>
  <c r="O6" i="18"/>
  <c r="P2" i="18" a="1"/>
  <c r="P2" i="18"/>
  <c r="P3" i="18" a="1"/>
  <c r="P3" i="18"/>
  <c r="P4" i="18" a="1"/>
  <c r="P4" i="18"/>
  <c r="P5" i="18" a="1"/>
  <c r="P5" i="18"/>
  <c r="P6" i="18" a="1"/>
  <c r="P6" i="18"/>
  <c r="Q2" i="18" a="1"/>
  <c r="Q2" i="18"/>
  <c r="Q3" i="18" a="1"/>
  <c r="Q3" i="18"/>
  <c r="Q4" i="18" a="1"/>
  <c r="Q4" i="18"/>
  <c r="Q5" i="18" a="1"/>
  <c r="Q5" i="18"/>
  <c r="Q6" i="18" a="1"/>
  <c r="Q6" i="18"/>
  <c r="R2" i="18"/>
  <c r="R3" i="18"/>
  <c r="R4" i="18"/>
  <c r="R5" i="18"/>
  <c r="R6" i="18"/>
  <c r="S2" i="18" a="1"/>
  <c r="S2" i="18"/>
  <c r="S3" i="18" a="1"/>
  <c r="S3" i="18"/>
  <c r="S4" i="18" a="1"/>
  <c r="S4" i="18"/>
  <c r="S5" i="18" a="1"/>
  <c r="S5" i="18"/>
  <c r="S6" i="18" a="1"/>
  <c r="S6" i="18"/>
  <c r="T2" i="18" a="1"/>
  <c r="T2" i="18"/>
  <c r="T3" i="18" a="1"/>
  <c r="T3" i="18"/>
  <c r="T4" i="18" a="1"/>
  <c r="T4" i="18"/>
  <c r="T5" i="18" a="1"/>
  <c r="T5" i="18"/>
  <c r="T6" i="18" a="1"/>
  <c r="T6" i="18"/>
  <c r="U2" i="18"/>
  <c r="U3" i="18"/>
  <c r="U4" i="18"/>
  <c r="U5" i="18"/>
  <c r="U6" i="18"/>
  <c r="L2" i="17"/>
  <c r="L3" i="17"/>
  <c r="L4" i="17"/>
  <c r="L5" i="17"/>
  <c r="L6" i="17"/>
  <c r="L7" i="17"/>
  <c r="L8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W2" i="17"/>
  <c r="W3" i="17"/>
  <c r="W4" i="17"/>
  <c r="W5" i="17"/>
  <c r="W6" i="17"/>
  <c r="W7" i="17"/>
  <c r="W8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Y2" i="17"/>
  <c r="Y3" i="17"/>
  <c r="Y4" i="17"/>
  <c r="Y5" i="17"/>
  <c r="Y6" i="17"/>
  <c r="Y7" i="17"/>
  <c r="Y8" i="17"/>
  <c r="G2" i="16"/>
  <c r="Q8" i="17" l="1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jraitse\OneDrive - Syracuse University\documents\ecs630_simulationanalytics\drillpress_model_3-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jraitse\OneDrive - Syracuse University\documents\ecs630_simulationanalytics\drillpress_model_3-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jraitse\OneDrive - Syracuse University\documents\ecs630_simulationanalytics\drillpress_model_3-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jraitse\OneDrive - Syracuse University\documents\ecs630_simulationanalytics\drillpress_model_3-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jraitse\OneDrive - Syracuse University\documents\ecs630_simulationanalytics\drillpress_model_3-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jraitse\OneDrive - Syracuse University\documents\ecs630_simulationanalytics\drillpress_model_3-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<sst xmlns="http://schemas.openxmlformats.org/spreadsheetml/2006/main" count="297" uniqueCount="99">
  <si>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</si>
  <si>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</si>
  <si>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</si>
  <si>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</si>
  <si>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</si>
  <si>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</si>
  <si>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</si>
  <si>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</si>
  <si>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</si>
  <si>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</si>
  <si>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</si>
  <si>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</si>
  <si>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</si>
  <si>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</si>
  <si>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</si>
  <si>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</si>
  <si>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</si>
  <si>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</si>
  <si>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</si>
  <si>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</si>
  <si>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</si>
  <si>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</si>
  <si>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</si>
  <si>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</si>
  <si>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</si>
  <si>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</si>
  <si>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</si>
  <si>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</si>
  <si>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</si>
  <si>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</si>
  <si>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</si>
  <si>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</si>
  <si>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</si>
  <si>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</si>
  <si>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</si>
  <si>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</si>
  <si>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</si>
  <si>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</si>
  <si>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</si>
  <si>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</si>
  <si>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</si>
  <si>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</si>
  <si>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</si>
  <si>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</si>
  <si>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</si>
  <si>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</si>
  <si>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</si>
  <si>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</si>
  <si>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</si>
  <si>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</si>
  <si>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</si>
  <si>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</si>
  <si>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</si>
  <si>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</si>
  <si>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</si>
  <si>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</si>
  <si>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</si>
  <si>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</si>
  <si>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</si>
  <si>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</si>
  <si>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</si>
  <si>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</si>
  <si>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</si>
  <si>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</si>
  <si>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</si>
  <si>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</si>
  <si>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</si>
  <si>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</si>
  <si>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Drill Press Simulation</t>
  </si>
  <si>
    <t>C:\Users\gjraitse\OneDrive - Syracuse University\Documents\ECS630_SimulationAnalytics\DrillPress_Model_3-1.p</t>
  </si>
  <si>
    <t>2025-10-25 18:49:21</t>
  </si>
  <si>
    <t>Drilling Center.Queue</t>
  </si>
  <si>
    <t>Waiting Time</t>
  </si>
  <si>
    <t>Queue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</si>
  <si>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</si>
  <si>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</si>
  <si>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</si>
  <si>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</si>
  <si>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</si>
  <si>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</si>
  <si>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</si>
  <si>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</si>
  <si>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</si>
  <si>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</si>
  <si>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r Drill Press</t>
  </si>
  <si>
    <t>Instantaneous Utilization</t>
  </si>
  <si>
    <t>Resource</t>
  </si>
  <si>
    <t>Number Busy</t>
  </si>
  <si>
    <t>Number Scheduled</t>
  </si>
  <si>
    <t>Entity 1.NumberIn</t>
  </si>
  <si>
    <t>Number In</t>
  </si>
  <si>
    <t>Entity 1.NumberOut</t>
  </si>
  <si>
    <t>Number Out</t>
  </si>
  <si>
    <t>System.NumberOut</t>
  </si>
  <si>
    <t>System</t>
  </si>
  <si>
    <t>r Drill Press.NumberSeized</t>
  </si>
  <si>
    <t>Total Number Seized</t>
  </si>
  <si>
    <t>r Drill Press.ScheduledUtilization</t>
  </si>
  <si>
    <t>Scheduled 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</si>
</sst>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5.785141435183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Drill Press Simulation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6">
        <s v="Drilling Center.Queue"/>
        <s v="Entity 1"/>
        <s v="r Drill Pres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.788900965801695" maxValue="1.70598815412312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4"/>
    </cacheField>
    <cacheField name="LastRecordedValue" numFmtId="0">
      <sharedItems containsSemiMixedTypes="0" containsString="0" containsNumber="1" containsInteger="1" minValue="1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788900965801695" maxValue="1.70598815412312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788900965801695" maxValue="1.7059881541231201"/>
    </cacheField>
    <cacheField name="MaximumAverage" numFmtId="0">
      <sharedItems containsSemiMixedTypes="0" containsString="0" containsNumber="1" minValue="0.788900965801695" maxValue="1.7059881541231201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5.78514224536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5.785142361114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Drill Press Simulation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0">
        <s v="Drilling Center.Queue"/>
        <s v="Entity 1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6.43965188748452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.89556687360886"/>
    </cacheField>
    <cacheField name="Maximum" numFmtId="0">
      <sharedItems containsSemiMixedTypes="0" containsString="0" containsNumber="1" minValue="0" maxValue="12.6184533073803"/>
    </cacheField>
    <cacheField name="NumberObservations" numFmtId="0">
      <sharedItems containsSemiMixedTypes="0" containsString="0" containsNumber="1" containsInteger="1" minValue="5" maxValue="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6.43965188748452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6.4396518874845201"/>
    </cacheField>
    <cacheField name="MaximumAverage" numFmtId="0">
      <sharedItems containsSemiMixedTypes="0" containsString="0" containsNumber="1" minValue="0" maxValue="6.4396518874845201"/>
    </cacheField>
    <cacheField name="OverallMinimum" numFmtId="0">
      <sharedItems containsSemiMixedTypes="0" containsString="0" containsNumber="1" minValue="0" maxValue="2.89556687360886"/>
    </cacheField>
    <cacheField name="OverallMaximum" numFmtId="0">
      <sharedItems containsSemiMixedTypes="0" containsString="0" containsNumber="1" minValue="0" maxValue="12.6184533073803"/>
    </cacheField>
    <cacheField name="AverageNumberObservations" numFmtId="0">
      <sharedItems containsSemiMixedTypes="0" containsString="0" containsNumber="1" containsInteger="1" minValue="5" maxValue="6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5.785142824076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Drill Press Simulation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1">
        <s v="Entity 1.NumberIn"/>
        <s v="Entity 1.NumberOut"/>
        <s v="System.NumberOut"/>
        <s v="r Drill Press.NumberSeized"/>
        <s v="r Drill Press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System"/>
        <s v="Resource"/>
        <m u="1"/>
        <s v="Process" u="1"/>
      </sharedItems>
    </cacheField>
    <cacheField name="RecordedValue" numFmtId="0">
      <sharedItems containsSemiMixedTypes="0" containsString="0" containsNumber="1" minValue="0.91708718832142799" maxValue="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1708718832142799" maxValue="7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1708718832142799" maxValue="7"/>
    </cacheField>
    <cacheField name="Maximum" numFmtId="0">
      <sharedItems containsSemiMixedTypes="0" containsString="0" containsNumber="1" minValue="0.91708718832142799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 Raitses" refreshedDate="45955.78514374999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5-10-25 18:49:21"/>
    <n v="1"/>
    <x v="0"/>
    <x v="0"/>
    <x v="0"/>
    <n v="0.788900965801695"/>
    <n v="2E+20"/>
    <n v="0"/>
    <n v="3"/>
    <n v="1"/>
    <n v="0"/>
    <s v="Drill Press SimulationDrilling Center.QueueNumber WaitingQueue"/>
    <n v="1"/>
    <n v="0.788900965801695"/>
    <n v="0"/>
    <n v="0.95"/>
    <n v="4E+20"/>
    <n v="0.788900965801695"/>
    <n v="0.788900965801695"/>
    <n v="2E+20"/>
  </r>
  <r>
    <x v="0"/>
    <s v="2025-10-25 18:49:21"/>
    <n v="1"/>
    <x v="1"/>
    <x v="1"/>
    <x v="1"/>
    <n v="1.7059881541231201"/>
    <n v="2E+20"/>
    <n v="0"/>
    <n v="4"/>
    <n v="2"/>
    <n v="0"/>
    <s v="Drill Press SimulationEntity 1WIPEntity"/>
    <n v="1"/>
    <n v="1.7059881541231201"/>
    <n v="0"/>
    <n v="0.95"/>
    <n v="4E+20"/>
    <n v="1.7059881541231201"/>
    <n v="1.7059881541231201"/>
    <n v="2E+20"/>
  </r>
  <r>
    <x v="0"/>
    <s v="2025-10-25 18:49:21"/>
    <n v="1"/>
    <x v="2"/>
    <x v="2"/>
    <x v="2"/>
    <n v="0.91708718832142799"/>
    <n v="2E+20"/>
    <n v="0"/>
    <n v="1"/>
    <n v="1"/>
    <n v="0"/>
    <s v="Drill Press Simulationr Drill PressInstantaneous UtilizationResource"/>
    <n v="1"/>
    <n v="0.91708718832142799"/>
    <n v="0"/>
    <n v="0.95"/>
    <n v="4E+20"/>
    <n v="0.91708718832142799"/>
    <n v="0.91708718832142799"/>
    <n v="2E+20"/>
  </r>
  <r>
    <x v="0"/>
    <s v="2025-10-25 18:49:21"/>
    <n v="1"/>
    <x v="2"/>
    <x v="3"/>
    <x v="2"/>
    <n v="0.91708718832142799"/>
    <n v="2E+20"/>
    <n v="0"/>
    <n v="1"/>
    <n v="1"/>
    <n v="0"/>
    <s v="Drill Press Simulationr Drill PressNumber BusyResource"/>
    <n v="1"/>
    <n v="0.91708718832142799"/>
    <n v="0"/>
    <n v="0.95"/>
    <n v="4E+20"/>
    <n v="0.91708718832142799"/>
    <n v="0.91708718832142799"/>
    <n v="2E+20"/>
  </r>
  <r>
    <x v="0"/>
    <s v="2025-10-25 18:49:21"/>
    <n v="1"/>
    <x v="2"/>
    <x v="4"/>
    <x v="2"/>
    <n v="1"/>
    <n v="2E+20"/>
    <n v="1"/>
    <n v="1"/>
    <n v="1"/>
    <n v="0"/>
    <s v="Drill Press Simulationr Drill PressNumber ScheduledResource"/>
    <n v="1"/>
    <n v="1"/>
    <n v="0"/>
    <n v="0.95"/>
    <n v="4E+20"/>
    <n v="1"/>
    <n v="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5-10-25 18:49:21"/>
    <n v="1"/>
    <x v="0"/>
    <x v="0"/>
    <x v="0"/>
    <n v="2.5283356717488701"/>
    <n v="2E+20"/>
    <n v="0"/>
    <n v="8.1598298976508392"/>
    <n v="6"/>
    <s v="Drill Press SimulationDrilling Center.QueueWaiting TimeQueue"/>
    <n v="1"/>
    <n v="2.5283356717488701"/>
    <n v="0"/>
    <n v="0.95"/>
    <n v="4E+20"/>
    <n v="2.5283356717488701"/>
    <n v="2.5283356717488701"/>
    <n v="0"/>
    <n v="8.1598298976508392"/>
    <n v="6"/>
    <n v="2E+20"/>
    <n v="1"/>
    <n v="1"/>
  </r>
  <r>
    <x v="0"/>
    <s v="2025-10-25 18:49:21"/>
    <n v="1"/>
    <x v="1"/>
    <x v="1"/>
    <x v="1"/>
    <n v="0"/>
    <n v="2E+20"/>
    <n v="0"/>
    <n v="0"/>
    <n v="5"/>
    <s v="Drill Press SimulationEntity 1NVA TimeEntity"/>
    <n v="1"/>
    <n v="0"/>
    <n v="0"/>
    <n v="0.95"/>
    <n v="4E+20"/>
    <n v="0"/>
    <n v="0"/>
    <n v="0"/>
    <n v="0"/>
    <n v="5"/>
    <n v="2E+20"/>
    <n v="1"/>
    <n v="1"/>
  </r>
  <r>
    <x v="0"/>
    <s v="2025-10-25 18:49:21"/>
    <n v="1"/>
    <x v="1"/>
    <x v="2"/>
    <x v="1"/>
    <n v="0"/>
    <n v="2E+20"/>
    <n v="0"/>
    <n v="0"/>
    <n v="5"/>
    <s v="Drill Press SimulationEntity 1Other TimeEntity"/>
    <n v="1"/>
    <n v="0"/>
    <n v="0"/>
    <n v="0.95"/>
    <n v="4E+20"/>
    <n v="0"/>
    <n v="0"/>
    <n v="0"/>
    <n v="0"/>
    <n v="5"/>
    <n v="2E+20"/>
    <n v="1"/>
    <n v="1"/>
  </r>
  <r>
    <x v="0"/>
    <s v="2025-10-25 18:49:21"/>
    <n v="1"/>
    <x v="1"/>
    <x v="3"/>
    <x v="1"/>
    <n v="6.4396518874845201"/>
    <n v="2E+20"/>
    <n v="2.89556687360886"/>
    <n v="12.6184533073803"/>
    <n v="5"/>
    <s v="Drill Press SimulationEntity 1Total TimeEntity"/>
    <n v="1"/>
    <n v="6.4396518874845201"/>
    <n v="0"/>
    <n v="0.95"/>
    <n v="4E+20"/>
    <n v="6.4396518874845201"/>
    <n v="6.4396518874845201"/>
    <n v="2.89556687360886"/>
    <n v="12.6184533073803"/>
    <n v="5"/>
    <n v="2E+20"/>
    <n v="1"/>
    <n v="1"/>
  </r>
  <r>
    <x v="0"/>
    <s v="2025-10-25 18:49:21"/>
    <n v="1"/>
    <x v="1"/>
    <x v="4"/>
    <x v="1"/>
    <n v="0"/>
    <n v="2E+20"/>
    <n v="0"/>
    <n v="0"/>
    <n v="5"/>
    <s v="Drill Press SimulationEntity 1Transfer TimeEntity"/>
    <n v="1"/>
    <n v="0"/>
    <n v="0"/>
    <n v="0.95"/>
    <n v="4E+20"/>
    <n v="0"/>
    <n v="0"/>
    <n v="0"/>
    <n v="0"/>
    <n v="5"/>
    <n v="2E+20"/>
    <n v="1"/>
    <n v="1"/>
  </r>
  <r>
    <x v="0"/>
    <s v="2025-10-25 18:49:21"/>
    <n v="1"/>
    <x v="1"/>
    <x v="5"/>
    <x v="1"/>
    <n v="3.40564908138587"/>
    <n v="2E+20"/>
    <n v="1.7641781695210099"/>
    <n v="4.5167148957947996"/>
    <n v="5"/>
    <s v="Drill Press SimulationEntity 1VA TimeEntity"/>
    <n v="1"/>
    <n v="3.40564908138587"/>
    <n v="0"/>
    <n v="0.95"/>
    <n v="4E+20"/>
    <n v="3.40564908138587"/>
    <n v="3.40564908138587"/>
    <n v="1.7641781695210099"/>
    <n v="4.5167148957947996"/>
    <n v="5"/>
    <n v="2E+20"/>
    <n v="1"/>
    <n v="1"/>
  </r>
  <r>
    <x v="0"/>
    <s v="2025-10-25 18:49:21"/>
    <n v="1"/>
    <x v="1"/>
    <x v="6"/>
    <x v="1"/>
    <n v="3.0340028060986399"/>
    <n v="2E+20"/>
    <n v="0"/>
    <n v="8.1598298976508392"/>
    <n v="5"/>
    <s v="Drill Press SimulationEntity 1Wait TimeEntity"/>
    <n v="1"/>
    <n v="3.0340028060986399"/>
    <n v="0"/>
    <n v="0.95"/>
    <n v="4E+20"/>
    <n v="3.0340028060986399"/>
    <n v="3.0340028060986399"/>
    <n v="0"/>
    <n v="8.1598298976508392"/>
    <n v="5"/>
    <n v="2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5-10-25 18:49:21"/>
    <n v="1"/>
    <x v="0"/>
    <x v="0"/>
    <x v="0"/>
    <n v="7"/>
    <n v="0"/>
    <s v="Drill Press SimulationEntity 1.NumberInNumber InEntity"/>
    <n v="1"/>
    <n v="7"/>
    <n v="0"/>
    <n v="0.95"/>
    <n v="4E+20"/>
    <n v="7"/>
    <n v="7"/>
  </r>
  <r>
    <x v="0"/>
    <s v="2025-10-25 18:49:21"/>
    <n v="1"/>
    <x v="1"/>
    <x v="1"/>
    <x v="0"/>
    <n v="5"/>
    <n v="0"/>
    <s v="Drill Press SimulationEntity 1.NumberOutNumber OutEntity"/>
    <n v="1"/>
    <n v="5"/>
    <n v="0"/>
    <n v="0.95"/>
    <n v="4E+20"/>
    <n v="5"/>
    <n v="5"/>
  </r>
  <r>
    <x v="0"/>
    <s v="2025-10-25 18:49:21"/>
    <n v="1"/>
    <x v="2"/>
    <x v="1"/>
    <x v="1"/>
    <n v="5"/>
    <n v="0"/>
    <s v="Drill Press SimulationSystem.NumberOutNumber OutSystem"/>
    <n v="1"/>
    <n v="5"/>
    <n v="0"/>
    <n v="0.95"/>
    <n v="4E+20"/>
    <n v="5"/>
    <n v="5"/>
  </r>
  <r>
    <x v="0"/>
    <s v="2025-10-25 18:49:21"/>
    <n v="1"/>
    <x v="3"/>
    <x v="2"/>
    <x v="2"/>
    <n v="6"/>
    <n v="0"/>
    <s v="Drill Press Simulationr Drill Press.NumberSeizedTotal Number SeizedResource"/>
    <n v="1"/>
    <n v="6"/>
    <n v="0"/>
    <n v="0.95"/>
    <n v="4E+20"/>
    <n v="6"/>
    <n v="6"/>
  </r>
  <r>
    <x v="0"/>
    <s v="2025-10-25 18:49:21"/>
    <n v="1"/>
    <x v="4"/>
    <x v="3"/>
    <x v="2"/>
    <n v="0.91708718832142799"/>
    <n v="0"/>
    <s v="Drill Press Simulationr Drill Press.ScheduledUtilizationScheduled UtilizationResource"/>
    <n v="1"/>
    <n v="0.91708718832142799"/>
    <n v="0"/>
    <n v="0.95"/>
    <n v="4E+20"/>
    <n v="0.91708718832142799"/>
    <n v="0.917087188321427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x="1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5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4"/>
      <x v="12"/>
      <x v="4"/>
      <x/>
    </i>
    <i r="1">
      <x v="124"/>
      <x v="3"/>
      <x v="1"/>
    </i>
    <i r="1">
      <x v="125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2"/>
        <item m="1" x="35"/>
        <item m="1" x="7"/>
        <item m="1" x="87"/>
        <item m="1" x="70"/>
        <item m="1" x="40"/>
        <item m="1" x="96"/>
        <item m="1" x="28"/>
        <item m="1" x="32"/>
        <item x="1"/>
        <item m="1" x="65"/>
        <item m="1" x="77"/>
        <item m="1" x="82"/>
        <item m="1" x="6"/>
        <item m="1" x="34"/>
        <item m="1" x="24"/>
        <item m="1" x="99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4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2"/>
        <item m="1" x="64"/>
        <item m="1" x="51"/>
        <item m="1" x="68"/>
        <item m="1" x="53"/>
        <item x="0"/>
        <item x="1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7"/>
        <item m="1" x="19"/>
        <item m="1" x="80"/>
        <item m="1" x="47"/>
        <item m="1" x="14"/>
        <item m="1" x="75"/>
        <item m="1" x="71"/>
        <item m="1" x="48"/>
        <item m="1" x="15"/>
        <item m="1" x="76"/>
        <item m="1" x="72"/>
        <item m="1" x="10"/>
        <item m="1" x="44"/>
        <item m="1" x="28"/>
        <item m="1" x="18"/>
        <item m="1" x="69"/>
        <item m="1" x="40"/>
        <item m="1" x="70"/>
        <item m="1" x="41"/>
        <item m="1" x="27"/>
        <item m="1" x="22"/>
        <item m="1" x="49"/>
        <item m="1" x="24"/>
        <item m="1" x="79"/>
        <item m="1" x="73"/>
        <item m="1" x="23"/>
        <item m="1" x="21"/>
        <item m="1" x="66"/>
        <item m="1" x="74"/>
        <item m="1" x="11"/>
        <item m="1" x="29"/>
        <item m="1" x="42"/>
        <item m="1" x="63"/>
        <item m="1" x="78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3"/>
        <item x="4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4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5" sqref="B5"/>
    </sheetView>
  </sheetViews>
  <sheetFormatPr defaultRowHeight="14.25" x14ac:dyDescent="0.45"/>
  <cols>
    <col min="1" max="1" width="17.53125" bestFit="1" customWidth="1"/>
    <col min="2" max="2" width="80.53125" bestFit="1" customWidth="1"/>
    <col min="3" max="3" width="17.59765625" bestFit="1" customWidth="1"/>
    <col min="4" max="4" width="11.19921875" bestFit="1" customWidth="1"/>
    <col min="5" max="5" width="21.53125" bestFit="1" customWidth="1"/>
    <col min="6" max="6" width="22.9296875" bestFit="1" customWidth="1"/>
    <col min="7" max="7" width="18.3984375" bestFit="1" customWidth="1"/>
    <col min="8" max="10" width="19.3984375" bestFit="1" customWidth="1"/>
    <col min="11" max="11" width="19.3984375" customWidth="1"/>
  </cols>
  <sheetData>
    <row r="1" spans="1:7" x14ac:dyDescent="0.4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45">
      <c r="A2" t="s">
        <v>68</v>
      </c>
      <c r="B2" t="s">
        <v>69</v>
      </c>
      <c r="C2" t="s">
        <v>70</v>
      </c>
      <c r="D2">
        <v>2</v>
      </c>
      <c r="E2">
        <v>1</v>
      </c>
      <c r="F2">
        <v>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25" x14ac:dyDescent="0.45"/>
  <cols>
    <col min="1" max="1" width="33.265625" customWidth="1"/>
    <col min="2" max="2" width="28.73046875" bestFit="1" customWidth="1"/>
    <col min="3" max="3" width="12.59765625" bestFit="1" customWidth="1"/>
    <col min="4" max="4" width="8.46484375" bestFit="1" customWidth="1"/>
    <col min="5" max="5" width="27.53125" bestFit="1" customWidth="1"/>
    <col min="6" max="6" width="18.86328125" bestFit="1" customWidth="1"/>
    <col min="7" max="7" width="9.53125" bestFit="1" customWidth="1"/>
    <col min="8" max="9" width="25.59765625" bestFit="1" customWidth="1"/>
    <col min="10" max="10" width="25.86328125" bestFit="1" customWidth="1"/>
    <col min="11" max="11" width="15.33203125" bestFit="1" customWidth="1"/>
    <col min="12" max="12" width="15.59765625" bestFit="1" customWidth="1"/>
    <col min="13" max="13" width="28" bestFit="1" customWidth="1"/>
    <col min="14" max="14" width="27.73046875" bestFit="1" customWidth="1"/>
    <col min="15" max="15" width="18.73046875" bestFit="1" customWidth="1"/>
    <col min="16" max="16" width="12" bestFit="1" customWidth="1"/>
    <col min="17" max="17" width="12.59765625" bestFit="1" customWidth="1"/>
    <col min="18" max="18" width="8.46484375" bestFit="1" customWidth="1"/>
    <col min="19" max="19" width="27.53125" bestFit="1" customWidth="1"/>
    <col min="20" max="20" width="9.53125" bestFit="1" customWidth="1"/>
    <col min="21" max="21" width="25.59765625" bestFit="1" customWidth="1"/>
    <col min="22" max="22" width="20.73046875" bestFit="1" customWidth="1"/>
    <col min="23" max="23" width="21.06640625" bestFit="1" customWidth="1"/>
    <col min="24" max="24" width="15.33203125" bestFit="1" customWidth="1"/>
    <col min="25" max="25" width="15.59765625" bestFit="1" customWidth="1"/>
    <col min="26" max="26" width="16.265625" bestFit="1" customWidth="1"/>
    <col min="27" max="27" width="20.73046875" bestFit="1" customWidth="1"/>
    <col min="28" max="28" width="24.73046875" bestFit="1" customWidth="1"/>
    <col min="29" max="29" width="12" bestFit="1" customWidth="1"/>
    <col min="30" max="30" width="8.46484375" bestFit="1" customWidth="1"/>
    <col min="31" max="31" width="23.73046875" bestFit="1" customWidth="1"/>
    <col min="32" max="32" width="9.53125" bestFit="1" customWidth="1"/>
    <col min="33" max="33" width="28.1328125" bestFit="1" customWidth="1"/>
    <col min="34" max="34" width="18.6640625" bestFit="1" customWidth="1"/>
    <col min="35" max="35" width="18.9296875" bestFit="1" customWidth="1"/>
    <col min="36" max="36" width="19.86328125" bestFit="1" customWidth="1"/>
    <col min="37" max="37" width="32.265625" bestFit="1" customWidth="1"/>
    <col min="38" max="38" width="24.73046875" bestFit="1" customWidth="1"/>
    <col min="39" max="39" width="12" bestFit="1" customWidth="1"/>
    <col min="40" max="40" width="8.46484375" bestFit="1" customWidth="1"/>
    <col min="41" max="41" width="23.73046875" bestFit="1" customWidth="1"/>
    <col min="42" max="42" width="9.53125" bestFit="1" customWidth="1"/>
    <col min="43" max="43" width="28.1328125" bestFit="1" customWidth="1"/>
    <col min="44" max="44" width="18.6640625" bestFit="1" customWidth="1"/>
    <col min="45" max="45" width="18.9296875" bestFit="1" customWidth="1"/>
    <col min="46" max="46" width="19.86328125" bestFit="1" customWidth="1"/>
    <col min="47" max="47" width="14.86328125" bestFit="1" customWidth="1"/>
    <col min="48" max="48" width="20.73046875" bestFit="1" customWidth="1"/>
    <col min="49" max="49" width="26.265625" bestFit="1" customWidth="1"/>
    <col min="50" max="50" width="8.46484375" bestFit="1" customWidth="1"/>
    <col min="51" max="51" width="25" bestFit="1" customWidth="1"/>
    <col min="52" max="52" width="25.86328125" bestFit="1" customWidth="1"/>
    <col min="53" max="53" width="27" bestFit="1" customWidth="1"/>
    <col min="54" max="54" width="24.86328125" bestFit="1" customWidth="1"/>
    <col min="55" max="55" width="29.265625" bestFit="1" customWidth="1"/>
    <col min="56" max="56" width="31.86328125" bestFit="1" customWidth="1"/>
    <col min="57" max="57" width="21.73046875" bestFit="1" customWidth="1"/>
  </cols>
  <sheetData>
    <row r="1" spans="1:52" ht="18" x14ac:dyDescent="0.55000000000000004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4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45">
      <c r="A3" t="s">
        <v>68</v>
      </c>
      <c r="B3" t="s">
        <v>74</v>
      </c>
      <c r="C3" t="s">
        <v>75</v>
      </c>
      <c r="D3" t="s">
        <v>76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</v>
      </c>
      <c r="O3" t="s">
        <v>68</v>
      </c>
      <c r="P3" t="s">
        <v>74</v>
      </c>
      <c r="Q3" t="s">
        <v>83</v>
      </c>
      <c r="R3" t="s">
        <v>76</v>
      </c>
      <c r="S3" s="5">
        <v>1.7059881541231201</v>
      </c>
      <c r="T3" s="5">
        <v>2E+20</v>
      </c>
      <c r="U3" s="5">
        <v>0</v>
      </c>
      <c r="V3" s="5">
        <v>1.7059881541231201</v>
      </c>
      <c r="W3" s="5">
        <v>1.7059881541231201</v>
      </c>
      <c r="X3" s="5">
        <v>0</v>
      </c>
      <c r="Y3" s="5">
        <v>4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93</v>
      </c>
      <c r="AM3" t="s">
        <v>92</v>
      </c>
      <c r="AN3" t="s">
        <v>94</v>
      </c>
      <c r="AO3" s="5">
        <v>5</v>
      </c>
      <c r="AP3" s="5">
        <v>4E+20</v>
      </c>
      <c r="AQ3" s="5">
        <v>0</v>
      </c>
      <c r="AR3" s="5">
        <v>5</v>
      </c>
      <c r="AS3" s="5">
        <v>5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45">
      <c r="C4" t="s">
        <v>77</v>
      </c>
      <c r="D4" t="s">
        <v>76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</v>
      </c>
      <c r="P4" t="s">
        <v>71</v>
      </c>
      <c r="Q4" t="s">
        <v>82</v>
      </c>
      <c r="R4" t="s">
        <v>73</v>
      </c>
      <c r="S4" s="5">
        <v>0.788900965801695</v>
      </c>
      <c r="T4" s="5">
        <v>2E+20</v>
      </c>
      <c r="U4" s="5">
        <v>0</v>
      </c>
      <c r="V4" s="5">
        <v>0.788900965801695</v>
      </c>
      <c r="W4" s="5">
        <v>0.788900965801695</v>
      </c>
      <c r="X4" s="5">
        <v>0</v>
      </c>
      <c r="Y4" s="5">
        <v>3</v>
      </c>
      <c r="AL4" t="s">
        <v>89</v>
      </c>
      <c r="AM4" t="s">
        <v>90</v>
      </c>
      <c r="AN4" t="s">
        <v>76</v>
      </c>
      <c r="AO4" s="5">
        <v>7</v>
      </c>
      <c r="AP4" s="5">
        <v>4E+20</v>
      </c>
      <c r="AQ4" s="5">
        <v>0</v>
      </c>
      <c r="AR4" s="5">
        <v>7</v>
      </c>
      <c r="AS4" s="5">
        <v>7</v>
      </c>
    </row>
    <row r="5" spans="1:52" x14ac:dyDescent="0.45">
      <c r="C5" t="s">
        <v>78</v>
      </c>
      <c r="D5" t="s">
        <v>76</v>
      </c>
      <c r="E5" s="5">
        <v>6.4396518874845201</v>
      </c>
      <c r="F5" s="5">
        <v>1</v>
      </c>
      <c r="G5" s="5">
        <v>2E+20</v>
      </c>
      <c r="H5" s="5">
        <v>0</v>
      </c>
      <c r="I5" s="5">
        <v>6.4396518874845201</v>
      </c>
      <c r="J5" s="5">
        <v>6.4396518874845201</v>
      </c>
      <c r="K5" s="5">
        <v>2.89556687360886</v>
      </c>
      <c r="L5" s="5">
        <v>12.6184533073803</v>
      </c>
      <c r="M5" s="5">
        <v>5</v>
      </c>
      <c r="P5" t="s">
        <v>84</v>
      </c>
      <c r="Q5" t="s">
        <v>85</v>
      </c>
      <c r="R5" t="s">
        <v>86</v>
      </c>
      <c r="S5" s="5">
        <v>0.91708718832142799</v>
      </c>
      <c r="T5" s="5">
        <v>2E+20</v>
      </c>
      <c r="U5" s="5">
        <v>0</v>
      </c>
      <c r="V5" s="5">
        <v>0.91708718832142799</v>
      </c>
      <c r="W5" s="5">
        <v>0.91708718832142799</v>
      </c>
      <c r="X5" s="5">
        <v>0</v>
      </c>
      <c r="Y5" s="5">
        <v>1</v>
      </c>
      <c r="AL5" t="s">
        <v>91</v>
      </c>
      <c r="AM5" t="s">
        <v>92</v>
      </c>
      <c r="AN5" t="s">
        <v>76</v>
      </c>
      <c r="AO5" s="5">
        <v>5</v>
      </c>
      <c r="AP5" s="5">
        <v>4E+20</v>
      </c>
      <c r="AQ5" s="5">
        <v>0</v>
      </c>
      <c r="AR5" s="5">
        <v>5</v>
      </c>
      <c r="AS5" s="5">
        <v>5</v>
      </c>
    </row>
    <row r="6" spans="1:52" x14ac:dyDescent="0.45">
      <c r="C6" t="s">
        <v>79</v>
      </c>
      <c r="D6" t="s">
        <v>76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</v>
      </c>
      <c r="Q6" t="s">
        <v>87</v>
      </c>
      <c r="R6" t="s">
        <v>86</v>
      </c>
      <c r="S6" s="5">
        <v>0.91708718832142799</v>
      </c>
      <c r="T6" s="5">
        <v>2E+20</v>
      </c>
      <c r="U6" s="5">
        <v>0</v>
      </c>
      <c r="V6" s="5">
        <v>0.91708718832142799</v>
      </c>
      <c r="W6" s="5">
        <v>0.91708718832142799</v>
      </c>
      <c r="X6" s="5">
        <v>0</v>
      </c>
      <c r="Y6" s="5">
        <v>1</v>
      </c>
      <c r="AL6" t="s">
        <v>95</v>
      </c>
      <c r="AM6" t="s">
        <v>96</v>
      </c>
      <c r="AN6" t="s">
        <v>86</v>
      </c>
      <c r="AO6" s="5">
        <v>6</v>
      </c>
      <c r="AP6" s="5">
        <v>4E+20</v>
      </c>
      <c r="AQ6" s="5">
        <v>0</v>
      </c>
      <c r="AR6" s="5">
        <v>6</v>
      </c>
      <c r="AS6" s="5">
        <v>6</v>
      </c>
    </row>
    <row r="7" spans="1:52" x14ac:dyDescent="0.45">
      <c r="C7" t="s">
        <v>80</v>
      </c>
      <c r="D7" t="s">
        <v>76</v>
      </c>
      <c r="E7" s="5">
        <v>3.40564908138587</v>
      </c>
      <c r="F7" s="5">
        <v>1</v>
      </c>
      <c r="G7" s="5">
        <v>2E+20</v>
      </c>
      <c r="H7" s="5">
        <v>0</v>
      </c>
      <c r="I7" s="5">
        <v>3.40564908138587</v>
      </c>
      <c r="J7" s="5">
        <v>3.40564908138587</v>
      </c>
      <c r="K7" s="5">
        <v>1.7641781695210099</v>
      </c>
      <c r="L7" s="5">
        <v>4.5167148957947996</v>
      </c>
      <c r="M7" s="5">
        <v>5</v>
      </c>
      <c r="Q7" t="s">
        <v>88</v>
      </c>
      <c r="R7" t="s">
        <v>86</v>
      </c>
      <c r="S7" s="5">
        <v>1</v>
      </c>
      <c r="T7" s="5">
        <v>2E+20</v>
      </c>
      <c r="U7" s="5">
        <v>0</v>
      </c>
      <c r="V7" s="5">
        <v>1</v>
      </c>
      <c r="W7" s="5">
        <v>1</v>
      </c>
      <c r="X7" s="5">
        <v>1</v>
      </c>
      <c r="Y7" s="5">
        <v>1</v>
      </c>
      <c r="AL7" t="s">
        <v>97</v>
      </c>
      <c r="AM7" t="s">
        <v>98</v>
      </c>
      <c r="AN7" t="s">
        <v>86</v>
      </c>
      <c r="AO7" s="5">
        <v>0.91708718832142799</v>
      </c>
      <c r="AP7" s="5">
        <v>4E+20</v>
      </c>
      <c r="AQ7" s="5">
        <v>0</v>
      </c>
      <c r="AR7" s="5">
        <v>0.91708718832142799</v>
      </c>
      <c r="AS7" s="5">
        <v>0.91708718832142799</v>
      </c>
    </row>
    <row r="8" spans="1:52" x14ac:dyDescent="0.45">
      <c r="C8" t="s">
        <v>81</v>
      </c>
      <c r="D8" t="s">
        <v>76</v>
      </c>
      <c r="E8" s="5">
        <v>3.0340028060986399</v>
      </c>
      <c r="F8" s="5">
        <v>1</v>
      </c>
      <c r="G8" s="5">
        <v>2E+20</v>
      </c>
      <c r="H8" s="5">
        <v>0</v>
      </c>
      <c r="I8" s="5">
        <v>3.0340028060986399</v>
      </c>
      <c r="J8" s="5">
        <v>3.0340028060986399</v>
      </c>
      <c r="K8" s="5">
        <v>0</v>
      </c>
      <c r="L8" s="5">
        <v>8.1598298976508392</v>
      </c>
      <c r="M8" s="5">
        <v>5</v>
      </c>
    </row>
    <row r="9" spans="1:52" x14ac:dyDescent="0.45">
      <c r="B9" t="s">
        <v>71</v>
      </c>
      <c r="C9" t="s">
        <v>72</v>
      </c>
      <c r="D9" t="s">
        <v>73</v>
      </c>
      <c r="E9" s="5">
        <v>2.5283356717488701</v>
      </c>
      <c r="F9" s="5">
        <v>1</v>
      </c>
      <c r="G9" s="5">
        <v>2E+20</v>
      </c>
      <c r="H9" s="5">
        <v>0</v>
      </c>
      <c r="I9" s="5">
        <v>2.5283356717488701</v>
      </c>
      <c r="J9" s="5">
        <v>2.5283356717488701</v>
      </c>
      <c r="K9" s="5">
        <v>0</v>
      </c>
      <c r="L9" s="5">
        <v>8.1598298976508392</v>
      </c>
      <c r="M9" s="5">
        <v>6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"/>
  <sheetViews>
    <sheetView topLeftCell="W1" workbookViewId="0">
      <selection activeCell="A2" sqref="A2:K61"/>
    </sheetView>
  </sheetViews>
  <sheetFormatPr defaultRowHeight="14.25" x14ac:dyDescent="0.45"/>
  <cols>
    <col min="1" max="1" width="17.53125" bestFit="1" customWidth="1"/>
    <col min="2" max="2" width="20.19921875" bestFit="1" customWidth="1"/>
    <col min="3" max="3" width="12" bestFit="1" customWidth="1"/>
    <col min="4" max="4" width="17.86328125" bestFit="1" customWidth="1"/>
    <col min="5" max="5" width="11.53125" bestFit="1" customWidth="1"/>
    <col min="6" max="6" width="8.46484375" bestFit="1" customWidth="1"/>
    <col min="7" max="7" width="11.73046875" bestFit="1" customWidth="1"/>
    <col min="8" max="8" width="21.265625" bestFit="1" customWidth="1"/>
    <col min="9" max="10" width="11.73046875" bestFit="1" customWidth="1"/>
    <col min="11" max="11" width="20.53125" bestFit="1" customWidth="1"/>
    <col min="12" max="12" width="50.796875" bestFit="1" customWidth="1"/>
    <col min="13" max="13" width="15.6640625" bestFit="1" customWidth="1"/>
    <col min="14" max="14" width="18.265625" bestFit="1" customWidth="1"/>
    <col min="15" max="15" width="16.33203125" bestFit="1" customWidth="1"/>
    <col min="16" max="16" width="18.3984375" bestFit="1" customWidth="1"/>
    <col min="17" max="17" width="11.1328125" bestFit="1" customWidth="1"/>
    <col min="18" max="18" width="17.59765625" bestFit="1" customWidth="1"/>
    <col min="19" max="19" width="17.86328125" bestFit="1" customWidth="1"/>
    <col min="20" max="20" width="16.73046875" bestFit="1" customWidth="1"/>
    <col min="21" max="21" width="17" bestFit="1" customWidth="1"/>
    <col min="22" max="22" width="27.33203125" bestFit="1" customWidth="1"/>
    <col min="23" max="23" width="18.9296875" bestFit="1" customWidth="1"/>
    <col min="24" max="24" width="22" bestFit="1" customWidth="1"/>
    <col min="25" max="25" width="20.59765625" bestFit="1" customWidth="1"/>
  </cols>
  <sheetData>
    <row r="1" spans="1:25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4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2.5283356717488701</v>
      </c>
      <c r="H2">
        <v>2E+20</v>
      </c>
      <c r="I2">
        <v>0</v>
      </c>
      <c r="J2">
        <v>8.1598298976508392</v>
      </c>
      <c r="K2">
        <v>6</v>
      </c>
      <c r="L2" t="str">
        <f>DiscreteStatsTable[[#This Row],[ProjectName]]&amp;DiscreteStatsTable[[#This Row],[Name]]&amp;DiscreteStatsTable[[#This Row],[Type]]&amp;DiscreteStatsTable[[#This Row],[Source]]</f>
        <v>Drill Press SimulationDrilling Center.QueueWaiting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2.5283356717488701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2.5283356717488701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2.5283356717488701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8.1598298976508392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45">
      <c r="A3" t="s">
        <v>68</v>
      </c>
      <c r="B3" t="s">
        <v>70</v>
      </c>
      <c r="C3">
        <v>1</v>
      </c>
      <c r="D3" t="s">
        <v>74</v>
      </c>
      <c r="E3" t="s">
        <v>75</v>
      </c>
      <c r="F3" t="s">
        <v>76</v>
      </c>
      <c r="G3">
        <v>0</v>
      </c>
      <c r="H3">
        <v>2E+20</v>
      </c>
      <c r="I3">
        <v>0</v>
      </c>
      <c r="J3">
        <v>0</v>
      </c>
      <c r="K3">
        <v>5</v>
      </c>
      <c r="L3" t="str">
        <f>DiscreteStatsTable[[#This Row],[ProjectName]]&amp;DiscreteStatsTable[[#This Row],[Name]]&amp;DiscreteStatsTable[[#This Row],[Type]]&amp;DiscreteStatsTable[[#This Row],[Source]]</f>
        <v>Drill Press SimulationEntity 1NVA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45">
      <c r="A4" t="s">
        <v>68</v>
      </c>
      <c r="B4" t="s">
        <v>70</v>
      </c>
      <c r="C4">
        <v>1</v>
      </c>
      <c r="D4" t="s">
        <v>74</v>
      </c>
      <c r="E4" t="s">
        <v>77</v>
      </c>
      <c r="F4" t="s">
        <v>76</v>
      </c>
      <c r="G4">
        <v>0</v>
      </c>
      <c r="H4">
        <v>2E+20</v>
      </c>
      <c r="I4">
        <v>0</v>
      </c>
      <c r="J4">
        <v>0</v>
      </c>
      <c r="K4">
        <v>5</v>
      </c>
      <c r="L4" t="str">
        <f>DiscreteStatsTable[[#This Row],[ProjectName]]&amp;DiscreteStatsTable[[#This Row],[Name]]&amp;DiscreteStatsTable[[#This Row],[Type]]&amp;DiscreteStatsTable[[#This Row],[Source]]</f>
        <v>Drill Press SimulationEntity 1Other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45">
      <c r="A5" t="s">
        <v>68</v>
      </c>
      <c r="B5" t="s">
        <v>70</v>
      </c>
      <c r="C5">
        <v>1</v>
      </c>
      <c r="D5" t="s">
        <v>74</v>
      </c>
      <c r="E5" t="s">
        <v>78</v>
      </c>
      <c r="F5" t="s">
        <v>76</v>
      </c>
      <c r="G5">
        <v>6.4396518874845201</v>
      </c>
      <c r="H5">
        <v>2E+20</v>
      </c>
      <c r="I5">
        <v>2.89556687360886</v>
      </c>
      <c r="J5">
        <v>12.6184533073803</v>
      </c>
      <c r="K5">
        <v>5</v>
      </c>
      <c r="L5" t="str">
        <f>DiscreteStatsTable[[#This Row],[ProjectName]]&amp;DiscreteStatsTable[[#This Row],[Name]]&amp;DiscreteStatsTable[[#This Row],[Type]]&amp;DiscreteStatsTable[[#This Row],[Source]]</f>
        <v>Drill Press SimulationEntity 1Total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6.4396518874845201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6.4396518874845201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6.4396518874845201</v>
      </c>
      <c r="T5" cm="1">
        <f t="array" ref="T5">MIN(IF((DiscreteStatsTable[GroupByKey]=DiscreteStatsTable[[#This Row],[GroupByKey]]),(DiscreteStatsTable[GroupByKey]=DiscreteStatsTable[[#This Row],[GroupByKey]])*DiscreteStatsTable[Minimum]))</f>
        <v>2.89556687360886</v>
      </c>
      <c r="U5" cm="1">
        <f t="array" ref="U5">MAX(IF((DiscreteStatsTable[GroupByKey]=DiscreteStatsTable[[#This Row],[GroupByKey]]),(DiscreteStatsTable[GroupByKey]=DiscreteStatsTable[[#This Row],[GroupByKey]])*DiscreteStatsTable[Maximum]))</f>
        <v>12.6184533073803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45">
      <c r="A6" t="s">
        <v>68</v>
      </c>
      <c r="B6" t="s">
        <v>70</v>
      </c>
      <c r="C6">
        <v>1</v>
      </c>
      <c r="D6" t="s">
        <v>74</v>
      </c>
      <c r="E6" t="s">
        <v>79</v>
      </c>
      <c r="F6" t="s">
        <v>76</v>
      </c>
      <c r="G6">
        <v>0</v>
      </c>
      <c r="H6">
        <v>2E+20</v>
      </c>
      <c r="I6">
        <v>0</v>
      </c>
      <c r="J6">
        <v>0</v>
      </c>
      <c r="K6">
        <v>5</v>
      </c>
      <c r="L6" t="str">
        <f>DiscreteStatsTable[[#This Row],[ProjectName]]&amp;DiscreteStatsTable[[#This Row],[Name]]&amp;DiscreteStatsTable[[#This Row],[Type]]&amp;DiscreteStatsTable[[#This Row],[Source]]</f>
        <v>Drill Press SimulationEntity 1Transfer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45">
      <c r="A7" t="s">
        <v>68</v>
      </c>
      <c r="B7" t="s">
        <v>70</v>
      </c>
      <c r="C7">
        <v>1</v>
      </c>
      <c r="D7" t="s">
        <v>74</v>
      </c>
      <c r="E7" t="s">
        <v>80</v>
      </c>
      <c r="F7" t="s">
        <v>76</v>
      </c>
      <c r="G7">
        <v>3.40564908138587</v>
      </c>
      <c r="H7">
        <v>2E+20</v>
      </c>
      <c r="I7">
        <v>1.7641781695210099</v>
      </c>
      <c r="J7">
        <v>4.5167148957947996</v>
      </c>
      <c r="K7">
        <v>5</v>
      </c>
      <c r="L7" t="str">
        <f>DiscreteStatsTable[[#This Row],[ProjectName]]&amp;DiscreteStatsTable[[#This Row],[Name]]&amp;DiscreteStatsTable[[#This Row],[Type]]&amp;DiscreteStatsTable[[#This Row],[Source]]</f>
        <v>Drill Press SimulationEntity 1VA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3.40564908138587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3.40564908138587</v>
      </c>
      <c r="S7" cm="1">
        <f t="array" ref="S7">MAX(IF((DiscreteStatsTable[GroupByKey]=DiscreteStatsTable[[#This Row],[GroupByKey]]),(DiscreteStatsTable[GroupByKey]=DiscreteStatsTable[[#This Row],[GroupByKey]])*DiscreteStatsTable[Average]))</f>
        <v>3.40564908138587</v>
      </c>
      <c r="T7" cm="1">
        <f t="array" ref="T7">MIN(IF((DiscreteStatsTable[GroupByKey]=DiscreteStatsTable[[#This Row],[GroupByKey]]),(DiscreteStatsTable[GroupByKey]=DiscreteStatsTable[[#This Row],[GroupByKey]])*DiscreteStatsTable[Minimum]))</f>
        <v>1.7641781695210099</v>
      </c>
      <c r="U7" cm="1">
        <f t="array" ref="U7">MAX(IF((DiscreteStatsTable[GroupByKey]=DiscreteStatsTable[[#This Row],[GroupByKey]]),(DiscreteStatsTable[GroupByKey]=DiscreteStatsTable[[#This Row],[GroupByKey]])*DiscreteStatsTable[Maximum]))</f>
        <v>4.5167148957947996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45">
      <c r="A8" t="s">
        <v>68</v>
      </c>
      <c r="B8" t="s">
        <v>70</v>
      </c>
      <c r="C8">
        <v>1</v>
      </c>
      <c r="D8" t="s">
        <v>74</v>
      </c>
      <c r="E8" t="s">
        <v>81</v>
      </c>
      <c r="F8" t="s">
        <v>76</v>
      </c>
      <c r="G8">
        <v>3.0340028060986399</v>
      </c>
      <c r="H8">
        <v>2E+20</v>
      </c>
      <c r="I8">
        <v>0</v>
      </c>
      <c r="J8">
        <v>8.1598298976508392</v>
      </c>
      <c r="K8">
        <v>5</v>
      </c>
      <c r="L8" t="str">
        <f>DiscreteStatsTable[[#This Row],[ProjectName]]&amp;DiscreteStatsTable[[#This Row],[Name]]&amp;DiscreteStatsTable[[#This Row],[Type]]&amp;DiscreteStatsTable[[#This Row],[Source]]</f>
        <v>Drill Press SimulationEntity 1Wait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3.0340028060986399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3.0340028060986399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3.0340028060986399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8.1598298976508392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</sheetData>
  <phoneticPr fontId="2" type="noConversion"/>
  <conditionalFormatting sqref="H2:H8 Q2:Q8">
    <cfRule type="expression" dxfId="20" priority="23">
      <formula>H2=200000000000000000000</formula>
    </cfRule>
  </conditionalFormatting>
  <conditionalFormatting sqref="H2:H8">
    <cfRule type="expression" dxfId="19" priority="21">
      <formula>H2=300000000000000000000</formula>
    </cfRule>
  </conditionalFormatting>
  <conditionalFormatting sqref="L2:Y8">
    <cfRule type="expression" dxfId="18" priority="19">
      <formula>MOD(ROW(),2)=0</formula>
    </cfRule>
  </conditionalFormatting>
  <conditionalFormatting sqref="Y2:Y8">
    <cfRule type="expression" dxfId="17" priority="14">
      <formula>Y2=0</formula>
    </cfRule>
    <cfRule type="expression" dxfId="16" priority="16">
      <formula>Y2=1</formula>
    </cfRule>
  </conditionalFormatting>
  <conditionalFormatting sqref="Y3:Y8">
    <cfRule type="expression" dxfId="15" priority="15">
      <formula>Y3=1</formula>
    </cfRule>
  </conditionalFormatting>
  <conditionalFormatting sqref="W2:W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 W2:W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topLeftCell="A2" workbookViewId="0">
      <selection activeCell="A2" sqref="A2:L11"/>
    </sheetView>
  </sheetViews>
  <sheetFormatPr defaultRowHeight="14.25" x14ac:dyDescent="0.45"/>
  <cols>
    <col min="1" max="1" width="17.53125" bestFit="1" customWidth="1"/>
    <col min="2" max="2" width="20.19921875" bestFit="1" customWidth="1"/>
    <col min="3" max="3" width="12" bestFit="1" customWidth="1"/>
    <col min="4" max="4" width="17.86328125" bestFit="1" customWidth="1"/>
    <col min="5" max="5" width="20.53125" bestFit="1" customWidth="1"/>
    <col min="6" max="6" width="8.46484375" bestFit="1" customWidth="1"/>
    <col min="7" max="7" width="11.73046875" bestFit="1" customWidth="1"/>
    <col min="8" max="8" width="21.265625" bestFit="1" customWidth="1"/>
    <col min="9" max="9" width="10.86328125" bestFit="1" customWidth="1"/>
    <col min="10" max="10" width="11.1328125" bestFit="1" customWidth="1"/>
    <col min="11" max="11" width="18.53125" bestFit="1" customWidth="1"/>
    <col min="12" max="12" width="10.796875" bestFit="1" customWidth="1"/>
    <col min="13" max="13" width="53.86328125" bestFit="1" customWidth="1"/>
    <col min="14" max="14" width="15.6640625" bestFit="1" customWidth="1"/>
    <col min="15" max="15" width="18.265625" bestFit="1" customWidth="1"/>
    <col min="16" max="16" width="16.33203125" bestFit="1" customWidth="1"/>
    <col min="17" max="17" width="18.3984375" bestFit="1" customWidth="1"/>
    <col min="18" max="18" width="11.1328125" bestFit="1" customWidth="1"/>
    <col min="19" max="19" width="17.59765625" bestFit="1" customWidth="1"/>
    <col min="20" max="20" width="17.86328125" bestFit="1" customWidth="1"/>
    <col min="21" max="21" width="18.9296875" bestFit="1" customWidth="1"/>
    <col min="22" max="22" width="20" bestFit="1" customWidth="1"/>
  </cols>
  <sheetData>
    <row r="1" spans="1:21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45">
      <c r="A2" t="s">
        <v>68</v>
      </c>
      <c r="B2" t="s">
        <v>70</v>
      </c>
      <c r="C2">
        <v>1</v>
      </c>
      <c r="D2" t="s">
        <v>71</v>
      </c>
      <c r="E2" t="s">
        <v>82</v>
      </c>
      <c r="F2" t="s">
        <v>73</v>
      </c>
      <c r="G2">
        <v>0.788900965801695</v>
      </c>
      <c r="H2">
        <v>2E+20</v>
      </c>
      <c r="I2">
        <v>0</v>
      </c>
      <c r="J2">
        <v>3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Drill Press SimulationDrilling Center.QueueNumber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0.788900965801695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0.788900965801695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0.788900965801695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45">
      <c r="A3" t="s">
        <v>68</v>
      </c>
      <c r="B3" t="s">
        <v>70</v>
      </c>
      <c r="C3">
        <v>1</v>
      </c>
      <c r="D3" t="s">
        <v>74</v>
      </c>
      <c r="E3" t="s">
        <v>83</v>
      </c>
      <c r="F3" t="s">
        <v>76</v>
      </c>
      <c r="G3">
        <v>1.7059881541231201</v>
      </c>
      <c r="H3">
        <v>2E+20</v>
      </c>
      <c r="I3">
        <v>0</v>
      </c>
      <c r="J3">
        <v>4</v>
      </c>
      <c r="K3">
        <v>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Drill Press SimulationEntity 1WIPEntity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1.7059881541231201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1.7059881541231201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1.7059881541231201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45">
      <c r="A4" t="s">
        <v>68</v>
      </c>
      <c r="B4" t="s">
        <v>70</v>
      </c>
      <c r="C4">
        <v>1</v>
      </c>
      <c r="D4" t="s">
        <v>84</v>
      </c>
      <c r="E4" t="s">
        <v>85</v>
      </c>
      <c r="F4" t="s">
        <v>86</v>
      </c>
      <c r="G4">
        <v>0.91708718832142799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Drill Press Simulationr Drill PressInstantaneous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0.91708718832142799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0.91708718832142799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0.91708718832142799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45">
      <c r="A5" t="s">
        <v>68</v>
      </c>
      <c r="B5" t="s">
        <v>70</v>
      </c>
      <c r="C5">
        <v>1</v>
      </c>
      <c r="D5" t="s">
        <v>84</v>
      </c>
      <c r="E5" t="s">
        <v>87</v>
      </c>
      <c r="F5" t="s">
        <v>86</v>
      </c>
      <c r="G5">
        <v>0.91708718832142799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Drill Press Simulationr Drill PressNumber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0.91708718832142799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0.91708718832142799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0.91708718832142799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45">
      <c r="A6" t="s">
        <v>68</v>
      </c>
      <c r="B6" t="s">
        <v>70</v>
      </c>
      <c r="C6">
        <v>1</v>
      </c>
      <c r="D6" t="s">
        <v>84</v>
      </c>
      <c r="E6" t="s">
        <v>88</v>
      </c>
      <c r="F6" t="s">
        <v>86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Drill Press Simulationr Drill PressNumber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25" x14ac:dyDescent="0.45"/>
  <cols>
    <col min="1" max="1" width="13.3984375" bestFit="1" customWidth="1"/>
    <col min="2" max="2" width="20.19921875" bestFit="1" customWidth="1"/>
    <col min="3" max="3" width="12" bestFit="1" customWidth="1"/>
    <col min="4" max="4" width="7.73046875" bestFit="1" customWidth="1"/>
    <col min="5" max="5" width="6.86328125" bestFit="1" customWidth="1"/>
    <col min="6" max="6" width="8.46484375" bestFit="1" customWidth="1"/>
    <col min="7" max="7" width="15.33203125" bestFit="1" customWidth="1"/>
    <col min="8" max="8" width="13" bestFit="1" customWidth="1"/>
    <col min="9" max="9" width="15.6640625" bestFit="1" customWidth="1"/>
    <col min="10" max="10" width="9.59765625" bestFit="1" customWidth="1"/>
    <col min="11" max="11" width="18.1328125" bestFit="1" customWidth="1"/>
    <col min="12" max="12" width="18.3984375" bestFit="1" customWidth="1"/>
    <col min="13" max="13" width="11.1328125" bestFit="1" customWidth="1"/>
    <col min="14" max="14" width="10.86328125" bestFit="1" customWidth="1"/>
    <col min="15" max="15" width="11.1328125" bestFit="1" customWidth="1"/>
  </cols>
  <sheetData>
    <row r="1" spans="1:15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4.25" x14ac:dyDescent="0.45"/>
  <cols>
    <col min="1" max="1" width="17.53125" bestFit="1" customWidth="1"/>
    <col min="2" max="2" width="20.19921875" bestFit="1" customWidth="1"/>
    <col min="3" max="3" width="12" bestFit="1" customWidth="1"/>
    <col min="4" max="4" width="26.53125" bestFit="1" customWidth="1"/>
    <col min="5" max="5" width="17.46484375" bestFit="1" customWidth="1"/>
    <col min="6" max="6" width="8.46484375" bestFit="1" customWidth="1"/>
    <col min="7" max="7" width="15.33203125" bestFit="1" customWidth="1"/>
    <col min="8" max="8" width="10.796875" bestFit="1" customWidth="1"/>
    <col min="9" max="9" width="67.59765625" bestFit="1" customWidth="1"/>
    <col min="10" max="10" width="15.6640625" bestFit="1" customWidth="1"/>
    <col min="11" max="11" width="11.73046875" bestFit="1" customWidth="1"/>
    <col min="12" max="12" width="18.1328125" bestFit="1" customWidth="1"/>
    <col min="13" max="13" width="18.3984375" bestFit="1" customWidth="1"/>
    <col min="14" max="14" width="11.1328125" bestFit="1" customWidth="1"/>
    <col min="15" max="16" width="11.73046875" bestFit="1" customWidth="1"/>
  </cols>
  <sheetData>
    <row r="1" spans="1:16" x14ac:dyDescent="0.4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45">
      <c r="A2" t="s">
        <v>68</v>
      </c>
      <c r="B2" t="s">
        <v>70</v>
      </c>
      <c r="C2">
        <v>1</v>
      </c>
      <c r="D2" t="s">
        <v>89</v>
      </c>
      <c r="E2" t="s">
        <v>90</v>
      </c>
      <c r="F2" t="s">
        <v>76</v>
      </c>
      <c r="G2">
        <v>7</v>
      </c>
      <c r="H2">
        <v>0</v>
      </c>
      <c r="I2" t="str">
        <f>OutputTable[[#This Row],[ProjectName]]&amp;OutputTable[[#This Row],[Name]]&amp;OutputTable[[#This Row],[Type]]&amp;OutputTable[[#This Row],[Source]]</f>
        <v>Drill Press SimulationEntity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7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7</v>
      </c>
      <c r="P2" cm="1">
        <f t="array" ref="P2">MAX(IF((OutputTable[GroupByKey]=OutputTable[[#This Row],[GroupByKey]]),(OutputTable[GroupByKey]=OutputTable[[#This Row],[GroupByKey]])*OutputTable[RecordedValue]))</f>
        <v>7</v>
      </c>
    </row>
    <row r="3" spans="1:16" x14ac:dyDescent="0.45">
      <c r="A3" t="s">
        <v>68</v>
      </c>
      <c r="B3" t="s">
        <v>70</v>
      </c>
      <c r="C3">
        <v>1</v>
      </c>
      <c r="D3" t="s">
        <v>91</v>
      </c>
      <c r="E3" t="s">
        <v>92</v>
      </c>
      <c r="F3" t="s">
        <v>76</v>
      </c>
      <c r="G3">
        <v>5</v>
      </c>
      <c r="H3">
        <v>0</v>
      </c>
      <c r="I3" t="str">
        <f>OutputTable[[#This Row],[ProjectName]]&amp;OutputTable[[#This Row],[Name]]&amp;OutputTable[[#This Row],[Type]]&amp;OutputTable[[#This Row],[Source]]</f>
        <v>Drill Press SimulationEntity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5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5</v>
      </c>
      <c r="P3" cm="1">
        <f t="array" ref="P3">MAX(IF((OutputTable[GroupByKey]=OutputTable[[#This Row],[GroupByKey]]),(OutputTable[GroupByKey]=OutputTable[[#This Row],[GroupByKey]])*OutputTable[RecordedValue]))</f>
        <v>5</v>
      </c>
    </row>
    <row r="4" spans="1:16" x14ac:dyDescent="0.45">
      <c r="A4" t="s">
        <v>68</v>
      </c>
      <c r="B4" t="s">
        <v>70</v>
      </c>
      <c r="C4">
        <v>1</v>
      </c>
      <c r="D4" t="s">
        <v>93</v>
      </c>
      <c r="E4" t="s">
        <v>92</v>
      </c>
      <c r="F4" t="s">
        <v>94</v>
      </c>
      <c r="G4">
        <v>5</v>
      </c>
      <c r="H4">
        <v>0</v>
      </c>
      <c r="I4" t="str">
        <f>OutputTable[[#This Row],[ProjectName]]&amp;OutputTable[[#This Row],[Name]]&amp;OutputTable[[#This Row],[Type]]&amp;OutputTable[[#This Row],[Source]]</f>
        <v>Drill Press SimulationSystem.NumberOutNumber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5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5</v>
      </c>
      <c r="P4" cm="1">
        <f t="array" ref="P4">MAX(IF((OutputTable[GroupByKey]=OutputTable[[#This Row],[GroupByKey]]),(OutputTable[GroupByKey]=OutputTable[[#This Row],[GroupByKey]])*OutputTable[RecordedValue]))</f>
        <v>5</v>
      </c>
    </row>
    <row r="5" spans="1:16" x14ac:dyDescent="0.45">
      <c r="A5" t="s">
        <v>68</v>
      </c>
      <c r="B5" t="s">
        <v>70</v>
      </c>
      <c r="C5">
        <v>1</v>
      </c>
      <c r="D5" t="s">
        <v>95</v>
      </c>
      <c r="E5" t="s">
        <v>96</v>
      </c>
      <c r="F5" t="s">
        <v>86</v>
      </c>
      <c r="G5">
        <v>6</v>
      </c>
      <c r="H5">
        <v>0</v>
      </c>
      <c r="I5" t="str">
        <f>OutputTable[[#This Row],[ProjectName]]&amp;OutputTable[[#This Row],[Name]]&amp;OutputTable[[#This Row],[Type]]&amp;OutputTable[[#This Row],[Source]]</f>
        <v>Drill Press Simulationr Drill Press.NumberSeizedTotal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</v>
      </c>
      <c r="P5" cm="1">
        <f t="array" ref="P5">MAX(IF((OutputTable[GroupByKey]=OutputTable[[#This Row],[GroupByKey]]),(OutputTable[GroupByKey]=OutputTable[[#This Row],[GroupByKey]])*OutputTable[RecordedValue]))</f>
        <v>6</v>
      </c>
    </row>
    <row r="6" spans="1:16" x14ac:dyDescent="0.45">
      <c r="A6" t="s">
        <v>68</v>
      </c>
      <c r="B6" t="s">
        <v>70</v>
      </c>
      <c r="C6">
        <v>1</v>
      </c>
      <c r="D6" t="s">
        <v>97</v>
      </c>
      <c r="E6" t="s">
        <v>98</v>
      </c>
      <c r="F6" t="s">
        <v>86</v>
      </c>
      <c r="G6">
        <v>0.91708718832142799</v>
      </c>
      <c r="H6">
        <v>0</v>
      </c>
      <c r="I6" t="str">
        <f>OutputTable[[#This Row],[ProjectName]]&amp;OutputTable[[#This Row],[Name]]&amp;OutputTable[[#This Row],[Type]]&amp;OutputTable[[#This Row],[Source]]</f>
        <v>Drill Press Simulationr Drill Press.ScheduledUtilizationScheduled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0.91708718832142799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0.91708718832142799</v>
      </c>
      <c r="P6" cm="1">
        <f t="array" ref="P6">MAX(IF((OutputTable[GroupByKey]=OutputTable[[#This Row],[GroupByKey]]),(OutputTable[GroupByKey]=OutputTable[[#This Row],[GroupByKey]])*OutputTable[RecordedValue]))</f>
        <v>0.91708718832142799</v>
      </c>
    </row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25" x14ac:dyDescent="0.45"/>
  <cols>
    <col min="1" max="1" width="13.3984375" bestFit="1" customWidth="1"/>
    <col min="2" max="2" width="20.19921875" bestFit="1" customWidth="1"/>
    <col min="3" max="3" width="12" bestFit="1" customWidth="1"/>
    <col min="4" max="4" width="7.73046875" bestFit="1" customWidth="1"/>
    <col min="5" max="5" width="10.1328125" bestFit="1" customWidth="1"/>
    <col min="6" max="6" width="8.46484375" bestFit="1" customWidth="1"/>
    <col min="7" max="7" width="19.46484375" bestFit="1" customWidth="1"/>
    <col min="8" max="8" width="20.33203125" bestFit="1" customWidth="1"/>
    <col min="9" max="9" width="22.53125" bestFit="1" customWidth="1"/>
    <col min="10" max="10" width="23.6640625" bestFit="1" customWidth="1"/>
    <col min="11" max="11" width="14.59765625" bestFit="1" customWidth="1"/>
    <col min="12" max="12" width="13" bestFit="1" customWidth="1"/>
    <col min="13" max="13" width="27.33203125" bestFit="1" customWidth="1"/>
    <col min="14" max="14" width="28.19921875" bestFit="1" customWidth="1"/>
    <col min="15" max="15" width="15.6640625" bestFit="1" customWidth="1"/>
    <col min="16" max="16" width="26.19921875" bestFit="1" customWidth="1"/>
    <col min="17" max="17" width="27.06640625" bestFit="1" customWidth="1"/>
    <col min="18" max="18" width="29.265625" bestFit="1" customWidth="1"/>
    <col min="19" max="19" width="28.265625" bestFit="1" customWidth="1"/>
    <col min="20" max="20" width="26.265625" bestFit="1" customWidth="1"/>
    <col min="21" max="21" width="29.86328125" bestFit="1" customWidth="1"/>
    <col min="22" max="22" width="31.86328125" bestFit="1" customWidth="1"/>
    <col min="23" max="23" width="32.1328125" bestFit="1" customWidth="1"/>
  </cols>
  <sheetData>
    <row r="1" spans="1:17" x14ac:dyDescent="0.4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45">
      <c r="B17" s="3"/>
    </row>
    <row r="18" spans="2:2" x14ac:dyDescent="0.45">
      <c r="B18" s="3"/>
    </row>
    <row r="19" spans="2:2" x14ac:dyDescent="0.45">
      <c r="B19" s="3"/>
    </row>
    <row r="20" spans="2:2" x14ac:dyDescent="0.45">
      <c r="B20" s="3"/>
    </row>
    <row r="21" spans="2:2" x14ac:dyDescent="0.45">
      <c r="B21" s="3"/>
    </row>
    <row r="22" spans="2:2" x14ac:dyDescent="0.45">
      <c r="B22" s="3"/>
    </row>
    <row r="23" spans="2:2" x14ac:dyDescent="0.45">
      <c r="B23" s="3"/>
    </row>
    <row r="24" spans="2:2" x14ac:dyDescent="0.45">
      <c r="B24" s="3"/>
    </row>
    <row r="25" spans="2:2" x14ac:dyDescent="0.45">
      <c r="B25" s="3"/>
    </row>
    <row r="26" spans="2:2" x14ac:dyDescent="0.45">
      <c r="B26" s="3"/>
    </row>
    <row r="27" spans="2:2" x14ac:dyDescent="0.45">
      <c r="B27" s="3"/>
    </row>
    <row r="28" spans="2:2" x14ac:dyDescent="0.45">
      <c r="B28" s="3"/>
    </row>
    <row r="29" spans="2:2" x14ac:dyDescent="0.45">
      <c r="B29" s="3"/>
    </row>
    <row r="30" spans="2:2" x14ac:dyDescent="0.45">
      <c r="B30" s="3"/>
    </row>
    <row r="31" spans="2:2" x14ac:dyDescent="0.4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Gil Raitses</cp:lastModifiedBy>
  <cp:lastPrinted>2022-03-22T10:33:10Z</cp:lastPrinted>
  <dcterms:created xsi:type="dcterms:W3CDTF">2020-06-29T21:30:31Z</dcterms:created>
  <dcterms:modified xsi:type="dcterms:W3CDTF">2025-10-25T22:50:37Z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